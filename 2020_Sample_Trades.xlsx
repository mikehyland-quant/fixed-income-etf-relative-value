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My Trading/Successful Trading Writeups/Fixed Income ETF Arb 2020/"/>
    </mc:Choice>
  </mc:AlternateContent>
  <xr:revisionPtr revIDLastSave="833" documentId="8_{BB1A2BCA-1E5F-4D5D-A1E3-F40D0638C205}" xr6:coauthVersionLast="47" xr6:coauthVersionMax="47" xr10:uidLastSave="{FF28251F-04D4-43C4-B7B8-DA8C85175126}"/>
  <bookViews>
    <workbookView xWindow="-96" yWindow="0" windowWidth="23208" windowHeight="12336" xr2:uid="{B2BC4660-D98A-4175-A671-5C121E2C60A0}"/>
  </bookViews>
  <sheets>
    <sheet name="TLT-VGLT" sheetId="1" r:id="rId1"/>
    <sheet name="SPLB-VCLT" sheetId="2" r:id="rId2"/>
    <sheet name="MBB-SPMB" sheetId="3" r:id="rId3"/>
    <sheet name="MUB-VTE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4" l="1"/>
  <c r="K8" i="4"/>
  <c r="K7" i="4"/>
  <c r="O7" i="4" s="1"/>
  <c r="M7" i="4"/>
  <c r="M7" i="1"/>
  <c r="M7" i="2"/>
  <c r="M7" i="3"/>
  <c r="M5" i="3"/>
  <c r="K5" i="3"/>
  <c r="O5" i="3" s="1"/>
  <c r="K5" i="2"/>
  <c r="O5" i="2" s="1"/>
  <c r="K6" i="2" s="1"/>
  <c r="M5" i="2"/>
  <c r="O6" i="1"/>
  <c r="M6" i="1"/>
  <c r="K6" i="1"/>
  <c r="K5" i="1"/>
  <c r="O4" i="1"/>
  <c r="M4" i="1"/>
  <c r="K4" i="1"/>
  <c r="F13" i="2"/>
  <c r="F13" i="3"/>
  <c r="F13" i="4"/>
  <c r="F11" i="4"/>
  <c r="F10" i="4"/>
  <c r="F9" i="4"/>
  <c r="F7" i="4"/>
  <c r="F11" i="3"/>
  <c r="F10" i="3"/>
  <c r="F9" i="3"/>
  <c r="F7" i="3"/>
  <c r="F11" i="2"/>
  <c r="F10" i="2"/>
  <c r="F9" i="2"/>
  <c r="F7" i="2"/>
  <c r="F13" i="1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8" i="3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8" i="2"/>
  <c r="D8" i="4"/>
  <c r="D9" i="4"/>
  <c r="D10" i="4"/>
  <c r="D11" i="4"/>
  <c r="F11" i="1"/>
  <c r="F10" i="1"/>
  <c r="F9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8" i="1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12" i="4"/>
  <c r="M13" i="3"/>
  <c r="O13" i="3" s="1"/>
  <c r="M14" i="3"/>
  <c r="O14" i="3" s="1"/>
  <c r="M15" i="3"/>
  <c r="O15" i="3" s="1"/>
  <c r="F7" i="1"/>
  <c r="K19" i="4"/>
  <c r="K17" i="3"/>
  <c r="M18" i="4"/>
  <c r="O18" i="4" s="1"/>
  <c r="M17" i="4"/>
  <c r="O17" i="4" s="1"/>
  <c r="M16" i="4"/>
  <c r="O16" i="4" s="1"/>
  <c r="M15" i="4"/>
  <c r="O15" i="4" s="1"/>
  <c r="M16" i="3"/>
  <c r="O16" i="3" s="1"/>
  <c r="M15" i="2"/>
  <c r="O15" i="2" s="1"/>
  <c r="M16" i="2"/>
  <c r="O16" i="2" s="1"/>
  <c r="M17" i="2"/>
  <c r="O17" i="2" s="1"/>
  <c r="M18" i="2"/>
  <c r="O18" i="2" s="1"/>
  <c r="M14" i="2"/>
  <c r="O14" i="2" s="1"/>
  <c r="M13" i="1"/>
  <c r="O13" i="1" s="1"/>
  <c r="M14" i="1"/>
  <c r="M15" i="1"/>
  <c r="O15" i="1" s="1"/>
  <c r="M12" i="1"/>
  <c r="O12" i="1" s="1"/>
  <c r="K19" i="2"/>
  <c r="K16" i="1"/>
  <c r="O14" i="1"/>
  <c r="K9" i="4" l="1"/>
  <c r="O9" i="4" s="1"/>
  <c r="M10" i="4" s="1"/>
  <c r="K6" i="3"/>
  <c r="K7" i="3" s="1"/>
  <c r="O7" i="3" s="1"/>
  <c r="M8" i="3" s="1"/>
  <c r="K7" i="2"/>
  <c r="O7" i="2" s="1"/>
  <c r="M8" i="2" s="1"/>
  <c r="O19" i="4"/>
  <c r="O17" i="3"/>
  <c r="O19" i="2"/>
  <c r="O16" i="1"/>
</calcChain>
</file>

<file path=xl/sharedStrings.xml><?xml version="1.0" encoding="utf-8"?>
<sst xmlns="http://schemas.openxmlformats.org/spreadsheetml/2006/main" count="232" uniqueCount="90">
  <si>
    <t>Symbol</t>
  </si>
  <si>
    <t>Date/Time</t>
  </si>
  <si>
    <t>Quantity</t>
  </si>
  <si>
    <t>Proceeds</t>
  </si>
  <si>
    <t>Comm/Fee</t>
  </si>
  <si>
    <t>Date</t>
  </si>
  <si>
    <t>SPLB</t>
  </si>
  <si>
    <t>2020-03-10, 13:26:57</t>
  </si>
  <si>
    <t>VCLT</t>
  </si>
  <si>
    <t>MBB</t>
  </si>
  <si>
    <t>2020-03-10, 15:04:24</t>
  </si>
  <si>
    <t>2020-03-10, 15:05:52</t>
  </si>
  <si>
    <t>MUB</t>
  </si>
  <si>
    <t>2020-06-05, 14:21:26</t>
  </si>
  <si>
    <t>VTEB</t>
  </si>
  <si>
    <t>2020-06-08, 11:57:11</t>
  </si>
  <si>
    <t>TLT</t>
  </si>
  <si>
    <t>2020-03-11, 12:32:36</t>
  </si>
  <si>
    <t>VGLT</t>
  </si>
  <si>
    <t>2020-03-11, 12:32:40</t>
  </si>
  <si>
    <t>2020-03-11, 15:46:16</t>
  </si>
  <si>
    <t>date</t>
  </si>
  <si>
    <t>iShares 20+ Year Treasury Bond ETF</t>
  </si>
  <si>
    <t>ICE US Treasury 20+ Year Bond Index</t>
  </si>
  <si>
    <t>Vanguard Long-Term Treasury ETF</t>
  </si>
  <si>
    <t>Bloomberg U.S. Long Treasury Index </t>
  </si>
  <si>
    <t>ETF Name</t>
  </si>
  <si>
    <t>EFT Index</t>
  </si>
  <si>
    <t>2109 Closing Prices</t>
  </si>
  <si>
    <t>Analysis</t>
  </si>
  <si>
    <t>2019 Correlation</t>
  </si>
  <si>
    <t>Live Round Trip Example</t>
  </si>
  <si>
    <t>Open</t>
  </si>
  <si>
    <t>Close</t>
  </si>
  <si>
    <t>Open / Close</t>
  </si>
  <si>
    <t>Trade Price</t>
  </si>
  <si>
    <t>Net Proceeds</t>
  </si>
  <si>
    <t>Recap</t>
  </si>
  <si>
    <t>The trade was open for a bit more than three hours and closed same day (no overnight borrow costs).</t>
  </si>
  <si>
    <t>The pair had a virtually 100% correlation in 2019 (see yellow).</t>
  </si>
  <si>
    <t>Vanguard Long-Term Corporate Bond ETF</t>
  </si>
  <si>
    <t>Bloomberg U.S. 10+ Year Corporate Bond Index</t>
  </si>
  <si>
    <t xml:space="preserve">SPDR® Portfolio Long Term Corporate Bond ETF </t>
  </si>
  <si>
    <t>Bloomberg Long U.S. Corporate Index</t>
  </si>
  <si>
    <r>
      <t xml:space="preserve">This pairs trade was executed in the height of the crisis using two ETFs focused on long-term </t>
    </r>
    <r>
      <rPr>
        <u/>
        <sz val="11"/>
        <color theme="1"/>
        <rFont val="Aptos Narrow"/>
        <family val="2"/>
        <scheme val="minor"/>
      </rPr>
      <t>corporates.</t>
    </r>
  </si>
  <si>
    <t>1:38:XX</t>
  </si>
  <si>
    <t>The trade was open for a bit more than one and a half hours and closed same day (no overnight borrow costs).</t>
  </si>
  <si>
    <t>Notice the two indices are provided by the same provider meaning they should be very close (purple).</t>
  </si>
  <si>
    <t>iShares MBS ETF</t>
  </si>
  <si>
    <t>Bloomberg U.S. MBS Index</t>
  </si>
  <si>
    <r>
      <t xml:space="preserve">This pairs trade was executed in the height of the crisis using two ETFs focused on </t>
    </r>
    <r>
      <rPr>
        <u/>
        <sz val="11"/>
        <color theme="1"/>
        <rFont val="Aptos Narrow"/>
        <family val="2"/>
        <scheme val="minor"/>
      </rPr>
      <t>mortgages.</t>
    </r>
  </si>
  <si>
    <t>Note the split times on the closing trades suggests there was somewhat of a misfire of the algo (blue).</t>
  </si>
  <si>
    <t>iShares National Muni Bond ETF</t>
  </si>
  <si>
    <t>ICE AMT-Free US National Municipal Index</t>
  </si>
  <si>
    <t>Vanguard Tax-Exempt Bond ETF</t>
  </si>
  <si>
    <t>S&amp;P National AMT-Free Municipal Bond Index</t>
  </si>
  <si>
    <r>
      <t xml:space="preserve">This pairs trade was executedusing two ETFs focused on </t>
    </r>
    <r>
      <rPr>
        <u/>
        <sz val="11"/>
        <color theme="1"/>
        <rFont val="Aptos Narrow"/>
        <family val="2"/>
        <scheme val="minor"/>
      </rPr>
      <t>Munis.</t>
    </r>
  </si>
  <si>
    <t>Notice this trade was done in June, nearly three months after the height of the crisis.</t>
  </si>
  <si>
    <t>Munis are particularly hard to short because many of the bond issuance sizes are too small to generate lending.</t>
  </si>
  <si>
    <t>Hence, the Muni ETFs stayed out of line for a longer period of time than other areas of the bond ETF industry.</t>
  </si>
  <si>
    <t>2020-03-20, 13:50:05</t>
  </si>
  <si>
    <t>SPMB</t>
  </si>
  <si>
    <t>2020-03-23, 10:01:57</t>
  </si>
  <si>
    <t>overnight</t>
  </si>
  <si>
    <t>SPDR® Portfolio Mortgage Backed Bond ETF</t>
  </si>
  <si>
    <t>The pair have the exact same underlying index that they are following (purple).</t>
  </si>
  <si>
    <t>TLT/VGLT</t>
  </si>
  <si>
    <t>ratio max</t>
  </si>
  <si>
    <t>ratio min</t>
  </si>
  <si>
    <t>ratio avg</t>
  </si>
  <si>
    <t>MUB/VTEB</t>
  </si>
  <si>
    <t>VCLT/SPLB</t>
  </si>
  <si>
    <t>MBB/SPMB</t>
  </si>
  <si>
    <t>share ratio</t>
  </si>
  <si>
    <t>At trade open implied TLT price was</t>
  </si>
  <si>
    <t>*</t>
  </si>
  <si>
    <t>=</t>
  </si>
  <si>
    <t>At open TLT was rich to implied by</t>
  </si>
  <si>
    <t xml:space="preserve">The trade had the potential to make </t>
  </si>
  <si>
    <t>At trade open implied VCLT price was</t>
  </si>
  <si>
    <t>At open VCLT was cheap to implied by</t>
  </si>
  <si>
    <t>I was able to extract profit in the amount in the red box.  This represents</t>
  </si>
  <si>
    <t>of potential profit.</t>
  </si>
  <si>
    <r>
      <t xml:space="preserve">This pairs trade was executed in the height of the crisis using two ETFs focused on long-term </t>
    </r>
    <r>
      <rPr>
        <u/>
        <sz val="11"/>
        <color theme="1"/>
        <rFont val="Aptos Narrow"/>
        <family val="2"/>
        <scheme val="minor"/>
      </rPr>
      <t>Treasuries.</t>
    </r>
  </si>
  <si>
    <t>At trade open implied MBB price was</t>
  </si>
  <si>
    <t>At open MBB was rich to implied by</t>
  </si>
  <si>
    <t>The trade was open overnight and did incur some borrow costs (less than $20)</t>
  </si>
  <si>
    <t>At trade open implied MUB price was</t>
  </si>
  <si>
    <t>At open MUB was cheap to implied by</t>
  </si>
  <si>
    <t>The trade was open overnight and did incur some borrow costs (less than $15)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</si>
</sst>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70" formatCode="0.000"/>
    <numFmt numFmtId="171" formatCode="_(* #,##0.000_);_(* \(#,##0.000\);_(* &quot;-&quot;??_);_(@_)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9">
    <xf numFmtId="0" fontId="0" fillId="0" borderId="0" xfId="0"/>
    <xf numFmtId="44" fontId="0" fillId="0" borderId="0" xfId="1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44" fontId="2" fillId="0" borderId="0" xfId="1" applyFont="1" applyBorder="1" applyAlignment="1">
      <alignment horizontal="right"/>
    </xf>
    <xf numFmtId="44" fontId="2" fillId="0" borderId="5" xfId="1" applyFont="1" applyBorder="1" applyAlignment="1">
      <alignment horizontal="right"/>
    </xf>
    <xf numFmtId="0" fontId="0" fillId="0" borderId="4" xfId="0" applyBorder="1"/>
    <xf numFmtId="44" fontId="0" fillId="0" borderId="0" xfId="1" applyFont="1" applyBorder="1"/>
    <xf numFmtId="44" fontId="0" fillId="0" borderId="5" xfId="1" applyFont="1" applyBorder="1"/>
    <xf numFmtId="0" fontId="0" fillId="0" borderId="6" xfId="0" applyBorder="1"/>
    <xf numFmtId="44" fontId="0" fillId="0" borderId="7" xfId="1" applyFont="1" applyBorder="1"/>
    <xf numFmtId="0" fontId="0" fillId="0" borderId="7" xfId="0" applyBorder="1"/>
    <xf numFmtId="0" fontId="0" fillId="0" borderId="5" xfId="0" applyBorder="1"/>
    <xf numFmtId="0" fontId="4" fillId="0" borderId="0" xfId="0" applyFont="1" applyAlignment="1">
      <alignment horizontal="centerContinuous"/>
    </xf>
    <xf numFmtId="0" fontId="5" fillId="0" borderId="1" xfId="0" applyFont="1" applyBorder="1"/>
    <xf numFmtId="0" fontId="7" fillId="0" borderId="0" xfId="0" applyFont="1"/>
    <xf numFmtId="44" fontId="0" fillId="0" borderId="2" xfId="1" applyFont="1" applyBorder="1"/>
    <xf numFmtId="44" fontId="0" fillId="0" borderId="3" xfId="1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44" fontId="2" fillId="0" borderId="0" xfId="1" applyFont="1" applyBorder="1"/>
    <xf numFmtId="44" fontId="2" fillId="0" borderId="5" xfId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44" fontId="0" fillId="0" borderId="5" xfId="0" applyNumberFormat="1" applyBorder="1"/>
    <xf numFmtId="44" fontId="6" fillId="0" borderId="5" xfId="0" applyNumberFormat="1" applyFont="1" applyBorder="1"/>
    <xf numFmtId="21" fontId="0" fillId="0" borderId="7" xfId="0" applyNumberFormat="1" applyBorder="1"/>
    <xf numFmtId="164" fontId="0" fillId="2" borderId="5" xfId="2" applyNumberFormat="1" applyFont="1" applyFill="1" applyBorder="1"/>
    <xf numFmtId="0" fontId="4" fillId="2" borderId="4" xfId="0" applyFont="1" applyFill="1" applyBorder="1"/>
    <xf numFmtId="44" fontId="0" fillId="4" borderId="0" xfId="1" applyFont="1" applyFill="1" applyBorder="1"/>
    <xf numFmtId="44" fontId="0" fillId="5" borderId="0" xfId="1" applyFont="1" applyFill="1" applyBorder="1"/>
    <xf numFmtId="0" fontId="0" fillId="0" borderId="8" xfId="0" applyBorder="1"/>
    <xf numFmtId="21" fontId="0" fillId="0" borderId="7" xfId="0" applyNumberFormat="1" applyBorder="1" applyAlignment="1">
      <alignment horizontal="right"/>
    </xf>
    <xf numFmtId="0" fontId="0" fillId="7" borderId="0" xfId="0" applyFill="1"/>
    <xf numFmtId="0" fontId="7" fillId="7" borderId="0" xfId="0" applyFont="1" applyFill="1"/>
    <xf numFmtId="44" fontId="0" fillId="0" borderId="9" xfId="1" applyFont="1" applyBorder="1"/>
    <xf numFmtId="3" fontId="0" fillId="0" borderId="0" xfId="0" applyNumberFormat="1"/>
    <xf numFmtId="44" fontId="0" fillId="0" borderId="0" xfId="1" applyFont="1" applyFill="1"/>
    <xf numFmtId="44" fontId="0" fillId="0" borderId="0" xfId="1" applyFont="1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6" borderId="7" xfId="0" applyFill="1" applyBorder="1"/>
    <xf numFmtId="0" fontId="0" fillId="6" borderId="8" xfId="0" applyFill="1" applyBorder="1"/>
    <xf numFmtId="44" fontId="0" fillId="0" borderId="0" xfId="0" applyNumberFormat="1"/>
    <xf numFmtId="0" fontId="0" fillId="0" borderId="0" xfId="0" applyBorder="1"/>
    <xf numFmtId="170" fontId="0" fillId="0" borderId="5" xfId="0" applyNumberFormat="1" applyBorder="1"/>
    <xf numFmtId="170" fontId="0" fillId="0" borderId="8" xfId="0" applyNumberFormat="1" applyBorder="1"/>
    <xf numFmtId="171" fontId="0" fillId="0" borderId="0" xfId="3" applyNumberFormat="1" applyFont="1" applyBorder="1"/>
    <xf numFmtId="44" fontId="0" fillId="0" borderId="0" xfId="1" applyFont="1" applyBorder="1" applyAlignment="1">
      <alignment horizontal="center"/>
    </xf>
    <xf numFmtId="9" fontId="0" fillId="0" borderId="0" xfId="2" applyFont="1" applyAlignment="1">
      <alignment horizont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47535-0F11-4F9E-BD93-B32417937AA5}">
  <dimension ref="A1:R259"/>
  <sheetViews>
    <sheetView tabSelected="1" workbookViewId="0">
      <selection activeCell="K7" sqref="K7"/>
    </sheetView>
  </sheetViews>
  <sheetFormatPr defaultRowHeight="14.4" x14ac:dyDescent="0.3"/>
  <cols>
    <col min="2" max="2" width="12.44140625" bestFit="1" customWidth="1"/>
    <col min="4" max="4" width="13.33203125" customWidth="1"/>
    <col min="5" max="5" width="15.109375" bestFit="1" customWidth="1"/>
    <col min="6" max="6" width="12.6640625" customWidth="1"/>
    <col min="7" max="7" width="9.109375" customWidth="1"/>
    <col min="8" max="8" width="13.5546875" customWidth="1"/>
    <col min="9" max="9" width="7.6640625" style="1" bestFit="1" customWidth="1"/>
    <col min="10" max="10" width="18.88671875" style="1" bestFit="1" customWidth="1"/>
    <col min="11" max="11" width="8.6640625" style="1" bestFit="1" customWidth="1"/>
    <col min="12" max="12" width="12.44140625" style="1" bestFit="1" customWidth="1"/>
    <col min="13" max="13" width="12.33203125" bestFit="1" customWidth="1"/>
    <col min="14" max="14" width="12.44140625" bestFit="1" customWidth="1"/>
    <col min="15" max="15" width="14.6640625" bestFit="1" customWidth="1"/>
    <col min="17" max="18" width="7.21875" bestFit="1" customWidth="1"/>
    <col min="19" max="19" width="15.109375" bestFit="1" customWidth="1"/>
    <col min="20" max="20" width="8.109375" bestFit="1" customWidth="1"/>
  </cols>
  <sheetData>
    <row r="1" spans="1:18" x14ac:dyDescent="0.3">
      <c r="A1" s="48" t="s">
        <v>16</v>
      </c>
      <c r="B1" s="3" t="s">
        <v>26</v>
      </c>
      <c r="C1" s="44" t="s">
        <v>22</v>
      </c>
      <c r="D1" s="44"/>
      <c r="E1" s="45"/>
      <c r="F1" s="53"/>
      <c r="H1" s="2" t="s">
        <v>37</v>
      </c>
      <c r="I1" s="18"/>
      <c r="J1" s="18"/>
      <c r="K1" s="18"/>
      <c r="L1" s="18"/>
      <c r="M1" s="3"/>
      <c r="N1" s="3"/>
      <c r="O1" s="4"/>
    </row>
    <row r="2" spans="1:18" ht="15" thickBot="1" x14ac:dyDescent="0.35">
      <c r="A2" s="49"/>
      <c r="B2" s="13" t="s">
        <v>27</v>
      </c>
      <c r="C2" s="46" t="s">
        <v>23</v>
      </c>
      <c r="D2" s="46"/>
      <c r="E2" s="47"/>
      <c r="F2" s="53"/>
      <c r="H2" s="8" t="s">
        <v>83</v>
      </c>
      <c r="I2" s="9"/>
      <c r="J2" s="9"/>
      <c r="K2" s="9"/>
      <c r="L2" s="9"/>
      <c r="O2" s="14"/>
    </row>
    <row r="3" spans="1:18" x14ac:dyDescent="0.3">
      <c r="A3" s="48" t="s">
        <v>18</v>
      </c>
      <c r="B3" s="3" t="s">
        <v>26</v>
      </c>
      <c r="C3" s="44" t="s">
        <v>24</v>
      </c>
      <c r="D3" s="44"/>
      <c r="E3" s="45"/>
      <c r="F3" s="53"/>
      <c r="H3" s="8" t="s">
        <v>39</v>
      </c>
      <c r="I3" s="9"/>
      <c r="J3" s="9"/>
      <c r="K3" s="9"/>
      <c r="L3" s="9"/>
      <c r="O3" s="14"/>
    </row>
    <row r="4" spans="1:18" ht="15" thickBot="1" x14ac:dyDescent="0.35">
      <c r="A4" s="49"/>
      <c r="B4" s="13" t="s">
        <v>27</v>
      </c>
      <c r="C4" s="46" t="s">
        <v>25</v>
      </c>
      <c r="D4" s="46"/>
      <c r="E4" s="47"/>
      <c r="F4" s="53"/>
      <c r="H4" s="8" t="s">
        <v>74</v>
      </c>
      <c r="I4" s="9"/>
      <c r="J4" s="9"/>
      <c r="K4" s="56">
        <f>F11</f>
        <v>1.6279132739463154</v>
      </c>
      <c r="L4" s="57" t="s">
        <v>75</v>
      </c>
      <c r="M4" s="52">
        <f>L13</f>
        <v>99.25</v>
      </c>
      <c r="N4" s="25" t="s">
        <v>76</v>
      </c>
      <c r="O4" s="10">
        <f>K4*M4</f>
        <v>161.5703924391718</v>
      </c>
    </row>
    <row r="5" spans="1:18" ht="15" thickBot="1" x14ac:dyDescent="0.35">
      <c r="H5" s="8" t="s">
        <v>77</v>
      </c>
      <c r="I5" s="9"/>
      <c r="J5" s="9"/>
      <c r="K5" s="9">
        <f>L12-O4</f>
        <v>1.2096075608282035</v>
      </c>
      <c r="L5" s="9"/>
      <c r="O5" s="14"/>
    </row>
    <row r="6" spans="1:18" x14ac:dyDescent="0.3">
      <c r="A6" s="41" t="s">
        <v>28</v>
      </c>
      <c r="B6" s="42"/>
      <c r="C6" s="42"/>
      <c r="D6" s="43"/>
      <c r="E6" s="16" t="s">
        <v>29</v>
      </c>
      <c r="F6" s="4"/>
      <c r="H6" s="8" t="s">
        <v>78</v>
      </c>
      <c r="I6" s="9"/>
      <c r="J6" s="9"/>
      <c r="K6" s="9">
        <f>K5</f>
        <v>1.2096075608282035</v>
      </c>
      <c r="L6" s="57" t="s">
        <v>75</v>
      </c>
      <c r="M6">
        <f>-K12</f>
        <v>93</v>
      </c>
      <c r="N6" s="25" t="s">
        <v>76</v>
      </c>
      <c r="O6" s="10">
        <f>K6*M6</f>
        <v>112.49350315702293</v>
      </c>
    </row>
    <row r="7" spans="1:18" x14ac:dyDescent="0.3">
      <c r="A7" s="5" t="s">
        <v>5</v>
      </c>
      <c r="B7" s="6" t="s">
        <v>16</v>
      </c>
      <c r="C7" s="6" t="s">
        <v>18</v>
      </c>
      <c r="D7" s="7" t="s">
        <v>66</v>
      </c>
      <c r="E7" s="30" t="s">
        <v>30</v>
      </c>
      <c r="F7" s="29">
        <f>CORREL(C8:C259,B8:B259)</f>
        <v>0.99996786139300253</v>
      </c>
      <c r="H7" s="8" t="s">
        <v>81</v>
      </c>
      <c r="I7" s="9"/>
      <c r="J7" s="9"/>
      <c r="K7" s="9"/>
      <c r="L7" s="9"/>
      <c r="M7" s="58">
        <f>O16/O6</f>
        <v>0.64830826369769201</v>
      </c>
      <c r="N7" t="s">
        <v>82</v>
      </c>
      <c r="O7" s="14"/>
    </row>
    <row r="8" spans="1:18" ht="15" thickBot="1" x14ac:dyDescent="0.35">
      <c r="A8" s="8">
        <v>20190102</v>
      </c>
      <c r="B8" s="9">
        <v>122.15</v>
      </c>
      <c r="C8" s="9">
        <v>75.16</v>
      </c>
      <c r="D8" s="54">
        <f>B8/C8</f>
        <v>1.6251995742416181</v>
      </c>
      <c r="E8" s="8"/>
      <c r="F8" s="14"/>
      <c r="H8" s="11" t="s">
        <v>38</v>
      </c>
      <c r="I8" s="12"/>
      <c r="J8" s="12"/>
      <c r="K8" s="12"/>
      <c r="L8" s="12"/>
      <c r="M8" s="13"/>
      <c r="N8" s="13"/>
      <c r="O8" s="33"/>
    </row>
    <row r="9" spans="1:18" ht="15" thickBot="1" x14ac:dyDescent="0.35">
      <c r="A9" s="8">
        <v>20190103</v>
      </c>
      <c r="B9" s="9">
        <v>123.54</v>
      </c>
      <c r="C9" s="9">
        <v>76.010000000000005</v>
      </c>
      <c r="D9" s="54">
        <f t="shared" ref="D9:D72" si="0">B9/C9</f>
        <v>1.6253124588869885</v>
      </c>
      <c r="E9" s="8" t="s">
        <v>67</v>
      </c>
      <c r="F9" s="54">
        <f>MAX(D8:D259)</f>
        <v>1.6332114766810681</v>
      </c>
      <c r="Q9" s="52"/>
    </row>
    <row r="10" spans="1:18" x14ac:dyDescent="0.3">
      <c r="A10" s="8">
        <v>20190104</v>
      </c>
      <c r="B10" s="9">
        <v>122.11</v>
      </c>
      <c r="C10" s="9">
        <v>75.12</v>
      </c>
      <c r="D10" s="54">
        <f t="shared" si="0"/>
        <v>1.6255324813631522</v>
      </c>
      <c r="E10" s="8" t="s">
        <v>68</v>
      </c>
      <c r="F10" s="54">
        <f>MIN(D8:D259)</f>
        <v>1.62320800649175</v>
      </c>
      <c r="H10" s="2" t="s">
        <v>31</v>
      </c>
      <c r="I10" s="3"/>
      <c r="J10" s="3"/>
      <c r="K10" s="3"/>
      <c r="L10" s="18"/>
      <c r="M10" s="18"/>
      <c r="N10" s="18"/>
      <c r="O10" s="19"/>
      <c r="Q10" s="52"/>
    </row>
    <row r="11" spans="1:18" x14ac:dyDescent="0.3">
      <c r="A11" s="8">
        <v>20190107</v>
      </c>
      <c r="B11" s="9">
        <v>121.75</v>
      </c>
      <c r="C11" s="9">
        <v>74.92</v>
      </c>
      <c r="D11" s="54">
        <f t="shared" si="0"/>
        <v>1.6250667378537107</v>
      </c>
      <c r="E11" s="8" t="s">
        <v>69</v>
      </c>
      <c r="F11" s="54">
        <f>AVERAGE(D8:D259)</f>
        <v>1.6279132739463154</v>
      </c>
      <c r="H11" s="20" t="s">
        <v>34</v>
      </c>
      <c r="I11" s="21" t="s">
        <v>0</v>
      </c>
      <c r="J11" s="21" t="s">
        <v>1</v>
      </c>
      <c r="K11" s="21" t="s">
        <v>2</v>
      </c>
      <c r="L11" s="22" t="s">
        <v>35</v>
      </c>
      <c r="M11" s="22" t="s">
        <v>3</v>
      </c>
      <c r="N11" s="22" t="s">
        <v>4</v>
      </c>
      <c r="O11" s="23" t="s">
        <v>36</v>
      </c>
      <c r="Q11" s="52"/>
    </row>
    <row r="12" spans="1:18" x14ac:dyDescent="0.3">
      <c r="A12" s="8">
        <v>20190108</v>
      </c>
      <c r="B12" s="9">
        <v>121.43</v>
      </c>
      <c r="C12" s="9">
        <v>74.739999999999995</v>
      </c>
      <c r="D12" s="54">
        <f t="shared" si="0"/>
        <v>1.6246989563821248</v>
      </c>
      <c r="E12" s="8"/>
      <c r="F12" s="14"/>
      <c r="H12" s="24" t="s">
        <v>32</v>
      </c>
      <c r="I12" s="25" t="s">
        <v>16</v>
      </c>
      <c r="J12" t="s">
        <v>17</v>
      </c>
      <c r="K12">
        <v>-93</v>
      </c>
      <c r="L12" s="32">
        <v>162.78</v>
      </c>
      <c r="M12" s="9">
        <f>-K12*L12</f>
        <v>15138.54</v>
      </c>
      <c r="N12" s="9">
        <v>-1.3456287339999999</v>
      </c>
      <c r="O12" s="26">
        <f>+M12+N12</f>
        <v>15137.194371266001</v>
      </c>
      <c r="Q12" s="52"/>
    </row>
    <row r="13" spans="1:18" ht="15" thickBot="1" x14ac:dyDescent="0.35">
      <c r="A13" s="8">
        <v>20190109</v>
      </c>
      <c r="B13" s="9">
        <v>121.24</v>
      </c>
      <c r="C13" s="9">
        <v>74.569999999999993</v>
      </c>
      <c r="D13" s="54">
        <f t="shared" si="0"/>
        <v>1.6258549014348935</v>
      </c>
      <c r="E13" s="11" t="s">
        <v>73</v>
      </c>
      <c r="F13" s="55">
        <f>-K13/K12</f>
        <v>1.6236559139784945</v>
      </c>
      <c r="H13" s="24" t="s">
        <v>32</v>
      </c>
      <c r="I13" s="25" t="s">
        <v>18</v>
      </c>
      <c r="J13" t="s">
        <v>19</v>
      </c>
      <c r="K13">
        <v>151</v>
      </c>
      <c r="L13" s="31">
        <v>99.25</v>
      </c>
      <c r="M13" s="9">
        <f t="shared" ref="M13:M15" si="1">-K13*L13</f>
        <v>-14986.75</v>
      </c>
      <c r="N13" s="9">
        <v>-1</v>
      </c>
      <c r="O13" s="26">
        <f>+M13+N13</f>
        <v>-14987.75</v>
      </c>
      <c r="Q13" s="52"/>
    </row>
    <row r="14" spans="1:18" x14ac:dyDescent="0.3">
      <c r="A14" s="8">
        <v>20190110</v>
      </c>
      <c r="B14" s="9">
        <v>120.46</v>
      </c>
      <c r="C14" s="9">
        <v>74.150000000000006</v>
      </c>
      <c r="D14" s="54">
        <f t="shared" si="0"/>
        <v>1.624544841537424</v>
      </c>
      <c r="H14" s="24" t="s">
        <v>33</v>
      </c>
      <c r="I14" s="25" t="s">
        <v>16</v>
      </c>
      <c r="J14" t="s">
        <v>20</v>
      </c>
      <c r="K14">
        <v>93</v>
      </c>
      <c r="L14" s="9">
        <v>159.38</v>
      </c>
      <c r="M14" s="9">
        <f t="shared" si="1"/>
        <v>-14822.34</v>
      </c>
      <c r="N14" s="9">
        <v>-1</v>
      </c>
      <c r="O14" s="26">
        <f>+M14+N14</f>
        <v>-14823.34</v>
      </c>
      <c r="Q14" s="52"/>
    </row>
    <row r="15" spans="1:18" ht="16.8" thickBot="1" x14ac:dyDescent="0.5">
      <c r="A15" s="8">
        <v>20190111</v>
      </c>
      <c r="B15" s="9">
        <v>120.93</v>
      </c>
      <c r="C15" s="9">
        <v>74.44</v>
      </c>
      <c r="D15" s="54">
        <f t="shared" si="0"/>
        <v>1.6245298226759808</v>
      </c>
      <c r="H15" s="24" t="s">
        <v>33</v>
      </c>
      <c r="I15" s="25" t="s">
        <v>18</v>
      </c>
      <c r="J15" s="17" t="s">
        <v>20</v>
      </c>
      <c r="K15" s="17">
        <v>-151</v>
      </c>
      <c r="L15" s="9">
        <v>97.67</v>
      </c>
      <c r="M15" s="9">
        <f t="shared" si="1"/>
        <v>14748.17</v>
      </c>
      <c r="N15" s="9">
        <v>-1.343903557</v>
      </c>
      <c r="O15" s="27">
        <f>+M15+N15</f>
        <v>14746.826096442999</v>
      </c>
      <c r="Q15" s="52"/>
    </row>
    <row r="16" spans="1:18" ht="15" thickBot="1" x14ac:dyDescent="0.35">
      <c r="A16" s="8">
        <v>20190114</v>
      </c>
      <c r="B16" s="9">
        <v>120.48</v>
      </c>
      <c r="C16" s="9">
        <v>74.17</v>
      </c>
      <c r="D16" s="54">
        <f t="shared" si="0"/>
        <v>1.6243764325198868</v>
      </c>
      <c r="H16" s="11"/>
      <c r="I16" s="13"/>
      <c r="J16" s="28">
        <v>0.13444444444444445</v>
      </c>
      <c r="K16" s="13">
        <f>SUM(K12:K15)</f>
        <v>0</v>
      </c>
      <c r="L16" s="12"/>
      <c r="M16" s="12"/>
      <c r="N16" s="12"/>
      <c r="O16" s="37">
        <f>SUM(O12:O15)</f>
        <v>72.930467709000368</v>
      </c>
      <c r="Q16" s="52"/>
      <c r="R16" s="52"/>
    </row>
    <row r="17" spans="1:18" x14ac:dyDescent="0.3">
      <c r="A17" s="8">
        <v>20190115</v>
      </c>
      <c r="B17" s="9">
        <v>120.04</v>
      </c>
      <c r="C17" s="9">
        <v>73.900000000000006</v>
      </c>
      <c r="D17" s="54">
        <f t="shared" si="0"/>
        <v>1.6243572395128552</v>
      </c>
      <c r="Q17" s="52"/>
      <c r="R17" s="52"/>
    </row>
    <row r="18" spans="1:18" x14ac:dyDescent="0.3">
      <c r="A18" s="8">
        <v>20190116</v>
      </c>
      <c r="B18" s="9">
        <v>120.16</v>
      </c>
      <c r="C18" s="9">
        <v>73.989999999999995</v>
      </c>
      <c r="D18" s="54">
        <f t="shared" si="0"/>
        <v>1.6240032436815786</v>
      </c>
      <c r="Q18" s="52"/>
      <c r="R18" s="52"/>
    </row>
    <row r="19" spans="1:18" x14ac:dyDescent="0.3">
      <c r="A19" s="8">
        <v>20190117</v>
      </c>
      <c r="B19" s="9">
        <v>120.19</v>
      </c>
      <c r="C19" s="9">
        <v>73.989999999999995</v>
      </c>
      <c r="D19" s="54">
        <f t="shared" si="0"/>
        <v>1.6244087038789026</v>
      </c>
      <c r="Q19" s="52"/>
      <c r="R19" s="52"/>
    </row>
    <row r="20" spans="1:18" x14ac:dyDescent="0.3">
      <c r="A20" s="8">
        <v>20190118</v>
      </c>
      <c r="B20" s="9">
        <v>119.56</v>
      </c>
      <c r="C20" s="9">
        <v>73.58</v>
      </c>
      <c r="D20" s="54">
        <f t="shared" si="0"/>
        <v>1.6248980701277522</v>
      </c>
      <c r="Q20" s="52"/>
      <c r="R20" s="52"/>
    </row>
    <row r="21" spans="1:18" x14ac:dyDescent="0.3">
      <c r="A21" s="8">
        <v>20190122</v>
      </c>
      <c r="B21" s="9">
        <v>120.37</v>
      </c>
      <c r="C21" s="9">
        <v>74.069999999999993</v>
      </c>
      <c r="D21" s="54">
        <f t="shared" si="0"/>
        <v>1.6250843796408805</v>
      </c>
      <c r="E21" s="15"/>
      <c r="F21" s="15"/>
      <c r="Q21" s="52"/>
      <c r="R21" s="52"/>
    </row>
    <row r="22" spans="1:18" x14ac:dyDescent="0.3">
      <c r="A22" s="8">
        <v>20190123</v>
      </c>
      <c r="B22" s="9">
        <v>120.32</v>
      </c>
      <c r="C22" s="9">
        <v>74.06</v>
      </c>
      <c r="D22" s="54">
        <f t="shared" si="0"/>
        <v>1.6246286794490952</v>
      </c>
      <c r="E22" s="15"/>
      <c r="F22" s="15"/>
      <c r="Q22" s="52"/>
      <c r="R22" s="52"/>
    </row>
    <row r="23" spans="1:18" x14ac:dyDescent="0.3">
      <c r="A23" s="8">
        <v>20190124</v>
      </c>
      <c r="B23" s="9">
        <v>121.11</v>
      </c>
      <c r="C23" s="9">
        <v>74.52</v>
      </c>
      <c r="D23" s="54">
        <f t="shared" si="0"/>
        <v>1.6252012882447666</v>
      </c>
      <c r="E23" s="15"/>
      <c r="F23" s="15"/>
      <c r="Q23" s="52"/>
      <c r="R23" s="52"/>
    </row>
    <row r="24" spans="1:18" x14ac:dyDescent="0.3">
      <c r="A24" s="8">
        <v>20190125</v>
      </c>
      <c r="B24" s="9">
        <v>120.53</v>
      </c>
      <c r="C24" s="9">
        <v>74.209999999999994</v>
      </c>
      <c r="D24" s="54">
        <f t="shared" si="0"/>
        <v>1.6241746395364507</v>
      </c>
      <c r="E24" s="15"/>
      <c r="F24" s="15"/>
      <c r="Q24" s="52"/>
      <c r="R24" s="52"/>
    </row>
    <row r="25" spans="1:18" x14ac:dyDescent="0.3">
      <c r="A25" s="8">
        <v>20190128</v>
      </c>
      <c r="B25" s="9">
        <v>120.41</v>
      </c>
      <c r="C25" s="9">
        <v>74.12</v>
      </c>
      <c r="D25" s="54">
        <f t="shared" si="0"/>
        <v>1.6245277927684834</v>
      </c>
      <c r="E25" s="15"/>
      <c r="F25" s="15"/>
      <c r="Q25" s="52"/>
      <c r="R25" s="52"/>
    </row>
    <row r="26" spans="1:18" x14ac:dyDescent="0.3">
      <c r="A26" s="8">
        <v>20190129</v>
      </c>
      <c r="B26" s="9">
        <v>121.02</v>
      </c>
      <c r="C26" s="9">
        <v>74.48</v>
      </c>
      <c r="D26" s="54">
        <f t="shared" si="0"/>
        <v>1.6248657357679912</v>
      </c>
      <c r="E26" s="15"/>
      <c r="F26" s="15"/>
      <c r="Q26" s="52"/>
      <c r="R26" s="52"/>
    </row>
    <row r="27" spans="1:18" x14ac:dyDescent="0.3">
      <c r="A27" s="8">
        <v>20190130</v>
      </c>
      <c r="B27" s="9">
        <v>120.93</v>
      </c>
      <c r="C27" s="9">
        <v>74.400000000000006</v>
      </c>
      <c r="D27" s="54">
        <f t="shared" si="0"/>
        <v>1.6254032258064517</v>
      </c>
      <c r="E27" s="15"/>
      <c r="F27" s="15"/>
      <c r="Q27" s="52"/>
      <c r="R27" s="52"/>
    </row>
    <row r="28" spans="1:18" x14ac:dyDescent="0.3">
      <c r="A28" s="8">
        <v>20190131</v>
      </c>
      <c r="B28" s="9">
        <v>121.97</v>
      </c>
      <c r="C28" s="9">
        <v>75.069999999999993</v>
      </c>
      <c r="D28" s="54">
        <f t="shared" si="0"/>
        <v>1.6247502331157588</v>
      </c>
      <c r="E28" s="15"/>
      <c r="F28" s="15"/>
      <c r="Q28" s="52"/>
      <c r="R28" s="52"/>
    </row>
    <row r="29" spans="1:18" x14ac:dyDescent="0.3">
      <c r="A29" s="8">
        <v>20190201</v>
      </c>
      <c r="B29" s="9">
        <v>120.96</v>
      </c>
      <c r="C29" s="9">
        <v>74.430000000000007</v>
      </c>
      <c r="D29" s="54">
        <f t="shared" si="0"/>
        <v>1.6251511487303505</v>
      </c>
      <c r="Q29" s="52"/>
      <c r="R29" s="52"/>
    </row>
    <row r="30" spans="1:18" x14ac:dyDescent="0.3">
      <c r="A30" s="8">
        <v>20190204</v>
      </c>
      <c r="B30" s="9">
        <v>120.42</v>
      </c>
      <c r="C30" s="9">
        <v>74.09</v>
      </c>
      <c r="D30" s="54">
        <f t="shared" si="0"/>
        <v>1.6253205560804427</v>
      </c>
      <c r="Q30" s="52"/>
      <c r="R30" s="52"/>
    </row>
    <row r="31" spans="1:18" x14ac:dyDescent="0.3">
      <c r="A31" s="8">
        <v>20190205</v>
      </c>
      <c r="B31" s="9">
        <v>120.97</v>
      </c>
      <c r="C31" s="9">
        <v>74.430000000000007</v>
      </c>
      <c r="D31" s="54">
        <f t="shared" si="0"/>
        <v>1.6252855031573288</v>
      </c>
      <c r="Q31" s="52"/>
      <c r="R31" s="52"/>
    </row>
    <row r="32" spans="1:18" x14ac:dyDescent="0.3">
      <c r="A32" s="8">
        <v>20190206</v>
      </c>
      <c r="B32" s="9">
        <v>121.03</v>
      </c>
      <c r="C32" s="9">
        <v>74.459999999999994</v>
      </c>
      <c r="D32" s="54">
        <f t="shared" si="0"/>
        <v>1.6254364759602473</v>
      </c>
      <c r="Q32" s="52"/>
      <c r="R32" s="52"/>
    </row>
    <row r="33" spans="1:18" x14ac:dyDescent="0.3">
      <c r="A33" s="8">
        <v>20190207</v>
      </c>
      <c r="B33" s="9">
        <v>121.83</v>
      </c>
      <c r="C33" s="9">
        <v>74.95</v>
      </c>
      <c r="D33" s="54">
        <f t="shared" si="0"/>
        <v>1.6254836557705137</v>
      </c>
      <c r="Q33" s="52"/>
      <c r="R33" s="52"/>
    </row>
    <row r="34" spans="1:18" x14ac:dyDescent="0.3">
      <c r="A34" s="8">
        <v>20190208</v>
      </c>
      <c r="B34" s="9">
        <v>122.35</v>
      </c>
      <c r="C34" s="9">
        <v>75.27</v>
      </c>
      <c r="D34" s="54">
        <f t="shared" si="0"/>
        <v>1.6254815995748639</v>
      </c>
      <c r="Q34" s="52"/>
      <c r="R34" s="52"/>
    </row>
    <row r="35" spans="1:18" x14ac:dyDescent="0.3">
      <c r="A35" s="8">
        <v>20190211</v>
      </c>
      <c r="B35" s="9">
        <v>121.87</v>
      </c>
      <c r="C35" s="9">
        <v>74.989999999999995</v>
      </c>
      <c r="D35" s="54">
        <f t="shared" si="0"/>
        <v>1.6251500200026672</v>
      </c>
      <c r="Q35" s="52"/>
      <c r="R35" s="52"/>
    </row>
    <row r="36" spans="1:18" x14ac:dyDescent="0.3">
      <c r="A36" s="8">
        <v>20190212</v>
      </c>
      <c r="B36" s="9">
        <v>121.56</v>
      </c>
      <c r="C36" s="9">
        <v>74.8</v>
      </c>
      <c r="D36" s="54">
        <f t="shared" si="0"/>
        <v>1.6251336898395723</v>
      </c>
      <c r="Q36" s="52"/>
      <c r="R36" s="52"/>
    </row>
    <row r="37" spans="1:18" x14ac:dyDescent="0.3">
      <c r="A37" s="8">
        <v>20190213</v>
      </c>
      <c r="B37" s="9">
        <v>121.1</v>
      </c>
      <c r="C37" s="9">
        <v>74.53</v>
      </c>
      <c r="D37" s="54">
        <f t="shared" si="0"/>
        <v>1.6248490540721856</v>
      </c>
      <c r="Q37" s="52"/>
      <c r="R37" s="52"/>
    </row>
    <row r="38" spans="1:18" x14ac:dyDescent="0.3">
      <c r="A38" s="8">
        <v>20190214</v>
      </c>
      <c r="B38" s="9">
        <v>121.79</v>
      </c>
      <c r="C38" s="9">
        <v>74.94</v>
      </c>
      <c r="D38" s="54">
        <f t="shared" si="0"/>
        <v>1.6251668001067523</v>
      </c>
      <c r="Q38" s="52"/>
      <c r="R38" s="52"/>
    </row>
    <row r="39" spans="1:18" x14ac:dyDescent="0.3">
      <c r="A39" s="8">
        <v>20190215</v>
      </c>
      <c r="B39" s="9">
        <v>121.98</v>
      </c>
      <c r="C39" s="9">
        <v>75.06</v>
      </c>
      <c r="D39" s="54">
        <f t="shared" si="0"/>
        <v>1.6250999200639489</v>
      </c>
      <c r="Q39" s="52"/>
      <c r="R39" s="52"/>
    </row>
    <row r="40" spans="1:18" x14ac:dyDescent="0.3">
      <c r="A40" s="8">
        <v>20190219</v>
      </c>
      <c r="B40" s="9">
        <v>122.29</v>
      </c>
      <c r="C40" s="9">
        <v>75.239999999999995</v>
      </c>
      <c r="D40" s="54">
        <f t="shared" si="0"/>
        <v>1.6253322700691124</v>
      </c>
      <c r="Q40" s="52"/>
      <c r="R40" s="52"/>
    </row>
    <row r="41" spans="1:18" x14ac:dyDescent="0.3">
      <c r="A41" s="8">
        <v>20190220</v>
      </c>
      <c r="B41" s="9">
        <v>121.94</v>
      </c>
      <c r="C41" s="9">
        <v>75.069999999999993</v>
      </c>
      <c r="D41" s="54">
        <f t="shared" si="0"/>
        <v>1.6243506061009725</v>
      </c>
      <c r="Q41" s="52"/>
      <c r="R41" s="52"/>
    </row>
    <row r="42" spans="1:18" x14ac:dyDescent="0.3">
      <c r="A42" s="8">
        <v>20190221</v>
      </c>
      <c r="B42" s="9">
        <v>120.85</v>
      </c>
      <c r="C42" s="9">
        <v>74.400000000000006</v>
      </c>
      <c r="D42" s="54">
        <f t="shared" si="0"/>
        <v>1.624327956989247</v>
      </c>
      <c r="Q42" s="52"/>
      <c r="R42" s="52"/>
    </row>
    <row r="43" spans="1:18" x14ac:dyDescent="0.3">
      <c r="A43" s="8">
        <v>20190222</v>
      </c>
      <c r="B43" s="9">
        <v>121.57</v>
      </c>
      <c r="C43" s="9">
        <v>74.819999999999993</v>
      </c>
      <c r="D43" s="54">
        <f t="shared" si="0"/>
        <v>1.6248329323710238</v>
      </c>
      <c r="Q43" s="52"/>
      <c r="R43" s="52"/>
    </row>
    <row r="44" spans="1:18" x14ac:dyDescent="0.3">
      <c r="A44" s="8">
        <v>20190225</v>
      </c>
      <c r="B44" s="9">
        <v>121.21</v>
      </c>
      <c r="C44" s="9">
        <v>74.599999999999994</v>
      </c>
      <c r="D44" s="54">
        <f t="shared" si="0"/>
        <v>1.624798927613941</v>
      </c>
      <c r="Q44" s="52"/>
      <c r="R44" s="52"/>
    </row>
    <row r="45" spans="1:18" x14ac:dyDescent="0.3">
      <c r="A45" s="8">
        <v>20190226</v>
      </c>
      <c r="B45" s="9">
        <v>121.81</v>
      </c>
      <c r="C45" s="9">
        <v>74.930000000000007</v>
      </c>
      <c r="D45" s="54">
        <f t="shared" si="0"/>
        <v>1.6256506072334178</v>
      </c>
      <c r="Q45" s="52"/>
      <c r="R45" s="52"/>
    </row>
    <row r="46" spans="1:18" x14ac:dyDescent="0.3">
      <c r="A46" s="8">
        <v>20190227</v>
      </c>
      <c r="B46" s="9">
        <v>120.43</v>
      </c>
      <c r="C46" s="9">
        <v>74.16</v>
      </c>
      <c r="D46" s="54">
        <f t="shared" si="0"/>
        <v>1.623921251348436</v>
      </c>
      <c r="Q46" s="52"/>
      <c r="R46" s="52"/>
    </row>
    <row r="47" spans="1:18" x14ac:dyDescent="0.3">
      <c r="A47" s="8">
        <v>20190228</v>
      </c>
      <c r="B47" s="9">
        <v>120.02</v>
      </c>
      <c r="C47" s="9">
        <v>73.94</v>
      </c>
      <c r="D47" s="54">
        <f t="shared" si="0"/>
        <v>1.62320800649175</v>
      </c>
      <c r="Q47" s="52"/>
      <c r="R47" s="52"/>
    </row>
    <row r="48" spans="1:18" x14ac:dyDescent="0.3">
      <c r="A48" s="8">
        <v>20190301</v>
      </c>
      <c r="B48" s="9">
        <v>118.66</v>
      </c>
      <c r="C48" s="9">
        <v>73.069999999999993</v>
      </c>
      <c r="D48" s="54">
        <f t="shared" si="0"/>
        <v>1.6239222663199673</v>
      </c>
      <c r="Q48" s="52"/>
      <c r="R48" s="52"/>
    </row>
    <row r="49" spans="1:18" x14ac:dyDescent="0.3">
      <c r="A49" s="8">
        <v>20190304</v>
      </c>
      <c r="B49" s="9">
        <v>119.59</v>
      </c>
      <c r="C49" s="9">
        <v>73.650000000000006</v>
      </c>
      <c r="D49" s="54">
        <f t="shared" si="0"/>
        <v>1.6237610319076714</v>
      </c>
      <c r="Q49" s="52"/>
      <c r="R49" s="52"/>
    </row>
    <row r="50" spans="1:18" x14ac:dyDescent="0.3">
      <c r="A50" s="8">
        <v>20190305</v>
      </c>
      <c r="B50" s="9">
        <v>119.84</v>
      </c>
      <c r="C50" s="9">
        <v>73.8</v>
      </c>
      <c r="D50" s="54">
        <f t="shared" si="0"/>
        <v>1.6238482384823849</v>
      </c>
      <c r="Q50" s="52"/>
      <c r="R50" s="52"/>
    </row>
    <row r="51" spans="1:18" x14ac:dyDescent="0.3">
      <c r="A51" s="8">
        <v>20190306</v>
      </c>
      <c r="B51" s="9">
        <v>120.28</v>
      </c>
      <c r="C51" s="9">
        <v>74.09</v>
      </c>
      <c r="D51" s="54">
        <f t="shared" si="0"/>
        <v>1.6234309623430963</v>
      </c>
      <c r="Q51" s="52"/>
      <c r="R51" s="52"/>
    </row>
    <row r="52" spans="1:18" x14ac:dyDescent="0.3">
      <c r="A52" s="8">
        <v>20190307</v>
      </c>
      <c r="B52" s="9">
        <v>121.06</v>
      </c>
      <c r="C52" s="9">
        <v>74.52</v>
      </c>
      <c r="D52" s="54">
        <f t="shared" si="0"/>
        <v>1.6245303274288783</v>
      </c>
      <c r="Q52" s="52"/>
      <c r="R52" s="52"/>
    </row>
    <row r="53" spans="1:18" x14ac:dyDescent="0.3">
      <c r="A53" s="8">
        <v>20190308</v>
      </c>
      <c r="B53" s="9">
        <v>121.57</v>
      </c>
      <c r="C53" s="9">
        <v>74.84</v>
      </c>
      <c r="D53" s="54">
        <f t="shared" si="0"/>
        <v>1.6243987172634953</v>
      </c>
      <c r="Q53" s="52"/>
      <c r="R53" s="52"/>
    </row>
    <row r="54" spans="1:18" x14ac:dyDescent="0.3">
      <c r="A54" s="8">
        <v>20190311</v>
      </c>
      <c r="B54" s="9">
        <v>121.21</v>
      </c>
      <c r="C54" s="9">
        <v>74.569999999999993</v>
      </c>
      <c r="D54" s="54">
        <f t="shared" si="0"/>
        <v>1.6254525948772967</v>
      </c>
      <c r="Q54" s="52"/>
      <c r="R54" s="52"/>
    </row>
    <row r="55" spans="1:18" x14ac:dyDescent="0.3">
      <c r="A55" s="8">
        <v>20190312</v>
      </c>
      <c r="B55" s="9">
        <v>122.06</v>
      </c>
      <c r="C55" s="9">
        <v>75.12</v>
      </c>
      <c r="D55" s="54">
        <f t="shared" si="0"/>
        <v>1.6248668796592118</v>
      </c>
      <c r="Q55" s="52"/>
      <c r="R55" s="52"/>
    </row>
    <row r="56" spans="1:18" x14ac:dyDescent="0.3">
      <c r="A56" s="8">
        <v>20190313</v>
      </c>
      <c r="B56" s="9">
        <v>121.83</v>
      </c>
      <c r="C56" s="9">
        <v>74.98</v>
      </c>
      <c r="D56" s="54">
        <f t="shared" si="0"/>
        <v>1.6248332888770338</v>
      </c>
      <c r="Q56" s="52"/>
      <c r="R56" s="52"/>
    </row>
    <row r="57" spans="1:18" x14ac:dyDescent="0.3">
      <c r="A57" s="8">
        <v>20190314</v>
      </c>
      <c r="B57" s="9">
        <v>120.95</v>
      </c>
      <c r="C57" s="9">
        <v>74.5</v>
      </c>
      <c r="D57" s="54">
        <f t="shared" si="0"/>
        <v>1.623489932885906</v>
      </c>
      <c r="Q57" s="52"/>
      <c r="R57" s="52"/>
    </row>
    <row r="58" spans="1:18" x14ac:dyDescent="0.3">
      <c r="A58" s="8">
        <v>20190315</v>
      </c>
      <c r="B58" s="9">
        <v>121.75</v>
      </c>
      <c r="C58" s="9">
        <v>74.930000000000007</v>
      </c>
      <c r="D58" s="54">
        <f t="shared" si="0"/>
        <v>1.6248498598692112</v>
      </c>
      <c r="Q58" s="52"/>
      <c r="R58" s="52"/>
    </row>
    <row r="59" spans="1:18" x14ac:dyDescent="0.3">
      <c r="A59" s="8">
        <v>20190318</v>
      </c>
      <c r="B59" s="9">
        <v>121.68</v>
      </c>
      <c r="C59" s="9">
        <v>74.91</v>
      </c>
      <c r="D59" s="54">
        <f t="shared" si="0"/>
        <v>1.6243492190628757</v>
      </c>
      <c r="Q59" s="52"/>
      <c r="R59" s="52"/>
    </row>
    <row r="60" spans="1:18" x14ac:dyDescent="0.3">
      <c r="A60" s="8">
        <v>20190319</v>
      </c>
      <c r="B60" s="9">
        <v>121.41</v>
      </c>
      <c r="C60" s="9">
        <v>74.77</v>
      </c>
      <c r="D60" s="54">
        <f t="shared" si="0"/>
        <v>1.6237795907449513</v>
      </c>
      <c r="Q60" s="52"/>
      <c r="R60" s="52"/>
    </row>
    <row r="61" spans="1:18" x14ac:dyDescent="0.3">
      <c r="A61" s="8">
        <v>20190320</v>
      </c>
      <c r="B61" s="9">
        <v>122.68</v>
      </c>
      <c r="C61" s="9">
        <v>75.5</v>
      </c>
      <c r="D61" s="54">
        <f t="shared" si="0"/>
        <v>1.6249006622516557</v>
      </c>
      <c r="Q61" s="52"/>
      <c r="R61" s="52"/>
    </row>
    <row r="62" spans="1:18" x14ac:dyDescent="0.3">
      <c r="A62" s="8">
        <v>20190321</v>
      </c>
      <c r="B62" s="9">
        <v>122.95</v>
      </c>
      <c r="C62" s="9">
        <v>75.66</v>
      </c>
      <c r="D62" s="54">
        <f t="shared" si="0"/>
        <v>1.6250330425588158</v>
      </c>
      <c r="Q62" s="52"/>
      <c r="R62" s="52"/>
    </row>
    <row r="63" spans="1:18" x14ac:dyDescent="0.3">
      <c r="A63" s="8">
        <v>20190322</v>
      </c>
      <c r="B63" s="9">
        <v>124.86</v>
      </c>
      <c r="C63" s="9">
        <v>76.849999999999994</v>
      </c>
      <c r="D63" s="54">
        <f t="shared" si="0"/>
        <v>1.6247234873129475</v>
      </c>
      <c r="Q63" s="52"/>
      <c r="R63" s="52"/>
    </row>
    <row r="64" spans="1:18" x14ac:dyDescent="0.3">
      <c r="A64" s="8">
        <v>20190325</v>
      </c>
      <c r="B64" s="9">
        <v>125.06</v>
      </c>
      <c r="C64" s="9">
        <v>76.930000000000007</v>
      </c>
      <c r="D64" s="54">
        <f t="shared" si="0"/>
        <v>1.6256336929676327</v>
      </c>
      <c r="Q64" s="52"/>
      <c r="R64" s="52"/>
    </row>
    <row r="65" spans="1:18" x14ac:dyDescent="0.3">
      <c r="A65" s="8">
        <v>20190326</v>
      </c>
      <c r="B65" s="9">
        <v>124.97</v>
      </c>
      <c r="C65" s="9">
        <v>76.89</v>
      </c>
      <c r="D65" s="54">
        <f t="shared" si="0"/>
        <v>1.6253088828196125</v>
      </c>
      <c r="Q65" s="52"/>
      <c r="R65" s="52"/>
    </row>
    <row r="66" spans="1:18" x14ac:dyDescent="0.3">
      <c r="A66" s="8">
        <v>20190327</v>
      </c>
      <c r="B66" s="9">
        <v>126.12</v>
      </c>
      <c r="C66" s="9">
        <v>77.53</v>
      </c>
      <c r="D66" s="54">
        <f t="shared" si="0"/>
        <v>1.6267251386560042</v>
      </c>
      <c r="Q66" s="52"/>
      <c r="R66" s="52"/>
    </row>
    <row r="67" spans="1:18" x14ac:dyDescent="0.3">
      <c r="A67" s="8">
        <v>20190328</v>
      </c>
      <c r="B67" s="9">
        <v>126.56</v>
      </c>
      <c r="C67" s="9">
        <v>77.790000000000006</v>
      </c>
      <c r="D67" s="54">
        <f t="shared" si="0"/>
        <v>1.6269443373184214</v>
      </c>
      <c r="Q67" s="52"/>
      <c r="R67" s="52"/>
    </row>
    <row r="68" spans="1:18" x14ac:dyDescent="0.3">
      <c r="A68" s="8">
        <v>20190329</v>
      </c>
      <c r="B68" s="9">
        <v>126.44</v>
      </c>
      <c r="C68" s="9">
        <v>77.760000000000005</v>
      </c>
      <c r="D68" s="54">
        <f t="shared" si="0"/>
        <v>1.626028806584362</v>
      </c>
      <c r="Q68" s="52"/>
      <c r="R68" s="52"/>
    </row>
    <row r="69" spans="1:18" x14ac:dyDescent="0.3">
      <c r="A69" s="8">
        <v>20190401</v>
      </c>
      <c r="B69" s="9">
        <v>124.37</v>
      </c>
      <c r="C69" s="9">
        <v>76.42</v>
      </c>
      <c r="D69" s="54">
        <f t="shared" si="0"/>
        <v>1.6274535461920963</v>
      </c>
      <c r="Q69" s="52"/>
      <c r="R69" s="52"/>
    </row>
    <row r="70" spans="1:18" x14ac:dyDescent="0.3">
      <c r="A70" s="8">
        <v>20190402</v>
      </c>
      <c r="B70" s="9">
        <v>124.6</v>
      </c>
      <c r="C70" s="9">
        <v>76.66</v>
      </c>
      <c r="D70" s="54">
        <f t="shared" si="0"/>
        <v>1.6253587268458127</v>
      </c>
      <c r="Q70" s="52"/>
      <c r="R70" s="52"/>
    </row>
    <row r="71" spans="1:18" x14ac:dyDescent="0.3">
      <c r="A71" s="8">
        <v>20190403</v>
      </c>
      <c r="B71" s="9">
        <v>123.52</v>
      </c>
      <c r="C71" s="9">
        <v>75.95</v>
      </c>
      <c r="D71" s="54">
        <f t="shared" si="0"/>
        <v>1.6263331138907176</v>
      </c>
      <c r="Q71" s="52"/>
      <c r="R71" s="52"/>
    </row>
    <row r="72" spans="1:18" x14ac:dyDescent="0.3">
      <c r="A72" s="8">
        <v>20190404</v>
      </c>
      <c r="B72" s="9">
        <v>123.87</v>
      </c>
      <c r="C72" s="9">
        <v>76.2</v>
      </c>
      <c r="D72" s="54">
        <f t="shared" si="0"/>
        <v>1.6255905511811024</v>
      </c>
      <c r="Q72" s="52"/>
      <c r="R72" s="52"/>
    </row>
    <row r="73" spans="1:18" x14ac:dyDescent="0.3">
      <c r="A73" s="8">
        <v>20190405</v>
      </c>
      <c r="B73" s="9">
        <v>124.03</v>
      </c>
      <c r="C73" s="9">
        <v>76.25</v>
      </c>
      <c r="D73" s="54">
        <f t="shared" ref="D73:D136" si="2">B73/C73</f>
        <v>1.6266229508196721</v>
      </c>
      <c r="Q73" s="52"/>
      <c r="R73" s="52"/>
    </row>
    <row r="74" spans="1:18" x14ac:dyDescent="0.3">
      <c r="A74" s="8">
        <v>20190408</v>
      </c>
      <c r="B74" s="9">
        <v>123.59</v>
      </c>
      <c r="C74" s="9">
        <v>76.010000000000005</v>
      </c>
      <c r="D74" s="54">
        <f t="shared" si="2"/>
        <v>1.6259702670701224</v>
      </c>
      <c r="Q74" s="52"/>
      <c r="R74" s="52"/>
    </row>
    <row r="75" spans="1:18" x14ac:dyDescent="0.3">
      <c r="A75" s="8">
        <v>20190409</v>
      </c>
      <c r="B75" s="9">
        <v>123.98</v>
      </c>
      <c r="C75" s="9">
        <v>76.25</v>
      </c>
      <c r="D75" s="54">
        <f t="shared" si="2"/>
        <v>1.6259672131147542</v>
      </c>
      <c r="Q75" s="52"/>
      <c r="R75" s="52"/>
    </row>
    <row r="76" spans="1:18" x14ac:dyDescent="0.3">
      <c r="A76" s="8">
        <v>20190410</v>
      </c>
      <c r="B76" s="9">
        <v>124.28</v>
      </c>
      <c r="C76" s="9">
        <v>76.400000000000006</v>
      </c>
      <c r="D76" s="54">
        <f t="shared" si="2"/>
        <v>1.6267015706806283</v>
      </c>
      <c r="Q76" s="52"/>
      <c r="R76" s="52"/>
    </row>
    <row r="77" spans="1:18" x14ac:dyDescent="0.3">
      <c r="A77" s="8">
        <v>20190411</v>
      </c>
      <c r="B77" s="9">
        <v>123.55</v>
      </c>
      <c r="C77" s="9">
        <v>75.989999999999995</v>
      </c>
      <c r="D77" s="54">
        <f t="shared" si="2"/>
        <v>1.6258718252401632</v>
      </c>
      <c r="Q77" s="52"/>
      <c r="R77" s="52"/>
    </row>
    <row r="78" spans="1:18" x14ac:dyDescent="0.3">
      <c r="A78" s="8">
        <v>20190412</v>
      </c>
      <c r="B78" s="9">
        <v>122.67</v>
      </c>
      <c r="C78" s="9">
        <v>75.459999999999994</v>
      </c>
      <c r="D78" s="54">
        <f t="shared" si="2"/>
        <v>1.6256294725682483</v>
      </c>
      <c r="Q78" s="52"/>
      <c r="R78" s="52"/>
    </row>
    <row r="79" spans="1:18" x14ac:dyDescent="0.3">
      <c r="A79" s="8">
        <v>20190415</v>
      </c>
      <c r="B79" s="9">
        <v>122.98</v>
      </c>
      <c r="C79" s="9">
        <v>75.63</v>
      </c>
      <c r="D79" s="54">
        <f t="shared" si="2"/>
        <v>1.6260743091365861</v>
      </c>
      <c r="Q79" s="52"/>
      <c r="R79" s="52"/>
    </row>
    <row r="80" spans="1:18" x14ac:dyDescent="0.3">
      <c r="A80" s="8">
        <v>20190416</v>
      </c>
      <c r="B80" s="9">
        <v>122.21</v>
      </c>
      <c r="C80" s="9">
        <v>75.209999999999994</v>
      </c>
      <c r="D80" s="54">
        <f t="shared" si="2"/>
        <v>1.624916899348491</v>
      </c>
      <c r="Q80" s="52"/>
      <c r="R80" s="52"/>
    </row>
    <row r="81" spans="1:18" x14ac:dyDescent="0.3">
      <c r="A81" s="8">
        <v>20190417</v>
      </c>
      <c r="B81" s="9">
        <v>122.26</v>
      </c>
      <c r="C81" s="9">
        <v>75.25</v>
      </c>
      <c r="D81" s="54">
        <f t="shared" si="2"/>
        <v>1.624717607973422</v>
      </c>
      <c r="Q81" s="52"/>
      <c r="R81" s="52"/>
    </row>
    <row r="82" spans="1:18" x14ac:dyDescent="0.3">
      <c r="A82" s="8">
        <v>20190418</v>
      </c>
      <c r="B82" s="9">
        <v>122.9</v>
      </c>
      <c r="C82" s="9">
        <v>75.58</v>
      </c>
      <c r="D82" s="54">
        <f t="shared" si="2"/>
        <v>1.6260915586133899</v>
      </c>
      <c r="Q82" s="52"/>
      <c r="R82" s="52"/>
    </row>
    <row r="83" spans="1:18" x14ac:dyDescent="0.3">
      <c r="A83" s="8">
        <v>20190422</v>
      </c>
      <c r="B83" s="9">
        <v>122.31</v>
      </c>
      <c r="C83" s="9">
        <v>75.22</v>
      </c>
      <c r="D83" s="54">
        <f t="shared" si="2"/>
        <v>1.6260303110874768</v>
      </c>
      <c r="Q83" s="52"/>
      <c r="R83" s="52"/>
    </row>
    <row r="84" spans="1:18" x14ac:dyDescent="0.3">
      <c r="A84" s="8">
        <v>20190423</v>
      </c>
      <c r="B84" s="9">
        <v>122.57</v>
      </c>
      <c r="C84" s="9">
        <v>75.38</v>
      </c>
      <c r="D84" s="54">
        <f t="shared" si="2"/>
        <v>1.6260281241708676</v>
      </c>
      <c r="Q84" s="52"/>
      <c r="R84" s="52"/>
    </row>
    <row r="85" spans="1:18" x14ac:dyDescent="0.3">
      <c r="A85" s="8">
        <v>20190424</v>
      </c>
      <c r="B85" s="9">
        <v>123.57</v>
      </c>
      <c r="C85" s="9">
        <v>75.98</v>
      </c>
      <c r="D85" s="54">
        <f t="shared" si="2"/>
        <v>1.6263490392208475</v>
      </c>
      <c r="Q85" s="52"/>
      <c r="R85" s="52"/>
    </row>
    <row r="86" spans="1:18" x14ac:dyDescent="0.3">
      <c r="A86" s="8">
        <v>20190425</v>
      </c>
      <c r="B86" s="9">
        <v>123.39</v>
      </c>
      <c r="C86" s="9">
        <v>75.89</v>
      </c>
      <c r="D86" s="54">
        <f t="shared" si="2"/>
        <v>1.6259059164580314</v>
      </c>
      <c r="Q86" s="52"/>
      <c r="R86" s="52"/>
    </row>
    <row r="87" spans="1:18" x14ac:dyDescent="0.3">
      <c r="A87" s="8">
        <v>20190426</v>
      </c>
      <c r="B87" s="9">
        <v>123.81</v>
      </c>
      <c r="C87" s="9">
        <v>76.14</v>
      </c>
      <c r="D87" s="54">
        <f t="shared" si="2"/>
        <v>1.6260835303388494</v>
      </c>
      <c r="Q87" s="52"/>
      <c r="R87" s="52"/>
    </row>
    <row r="88" spans="1:18" x14ac:dyDescent="0.3">
      <c r="A88" s="8">
        <v>20190429</v>
      </c>
      <c r="B88" s="9">
        <v>123.02</v>
      </c>
      <c r="C88" s="9">
        <v>75.69</v>
      </c>
      <c r="D88" s="54">
        <f t="shared" si="2"/>
        <v>1.6253137798916633</v>
      </c>
      <c r="Q88" s="52"/>
      <c r="R88" s="52"/>
    </row>
    <row r="89" spans="1:18" x14ac:dyDescent="0.3">
      <c r="A89" s="8">
        <v>20190430</v>
      </c>
      <c r="B89" s="9">
        <v>123.65</v>
      </c>
      <c r="C89" s="9">
        <v>76.09</v>
      </c>
      <c r="D89" s="54">
        <f t="shared" si="2"/>
        <v>1.625049283742936</v>
      </c>
      <c r="Q89" s="52"/>
      <c r="R89" s="52"/>
    </row>
    <row r="90" spans="1:18" x14ac:dyDescent="0.3">
      <c r="A90" s="8">
        <v>20190501</v>
      </c>
      <c r="B90" s="9">
        <v>123.9</v>
      </c>
      <c r="C90" s="9">
        <v>76.180000000000007</v>
      </c>
      <c r="D90" s="54">
        <f t="shared" si="2"/>
        <v>1.6264111315305854</v>
      </c>
      <c r="Q90" s="52"/>
      <c r="R90" s="52"/>
    </row>
    <row r="91" spans="1:18" x14ac:dyDescent="0.3">
      <c r="A91" s="8">
        <v>20190502</v>
      </c>
      <c r="B91" s="9">
        <v>123.31</v>
      </c>
      <c r="C91" s="9">
        <v>75.81</v>
      </c>
      <c r="D91" s="54">
        <f t="shared" si="2"/>
        <v>1.6265664160401003</v>
      </c>
      <c r="Q91" s="52"/>
      <c r="R91" s="52"/>
    </row>
    <row r="92" spans="1:18" x14ac:dyDescent="0.3">
      <c r="A92" s="8">
        <v>20190503</v>
      </c>
      <c r="B92" s="9">
        <v>123.66</v>
      </c>
      <c r="C92" s="9">
        <v>76.06</v>
      </c>
      <c r="D92" s="54">
        <f t="shared" si="2"/>
        <v>1.6258217196949776</v>
      </c>
      <c r="Q92" s="52"/>
      <c r="R92" s="52"/>
    </row>
    <row r="93" spans="1:18" x14ac:dyDescent="0.3">
      <c r="A93" s="8">
        <v>20190506</v>
      </c>
      <c r="B93" s="9">
        <v>124</v>
      </c>
      <c r="C93" s="9">
        <v>76.25</v>
      </c>
      <c r="D93" s="54">
        <f t="shared" si="2"/>
        <v>1.6262295081967213</v>
      </c>
      <c r="Q93" s="52"/>
      <c r="R93" s="52"/>
    </row>
    <row r="94" spans="1:18" x14ac:dyDescent="0.3">
      <c r="A94" s="8">
        <v>20190507</v>
      </c>
      <c r="B94" s="9">
        <v>124.95</v>
      </c>
      <c r="C94" s="9">
        <v>76.849999999999994</v>
      </c>
      <c r="D94" s="54">
        <f t="shared" si="2"/>
        <v>1.6258945998698766</v>
      </c>
      <c r="Q94" s="52"/>
      <c r="R94" s="52"/>
    </row>
    <row r="95" spans="1:18" x14ac:dyDescent="0.3">
      <c r="A95" s="8">
        <v>20190508</v>
      </c>
      <c r="B95" s="9">
        <v>124.41</v>
      </c>
      <c r="C95" s="9">
        <v>76.48</v>
      </c>
      <c r="D95" s="54">
        <f t="shared" si="2"/>
        <v>1.626699790794979</v>
      </c>
      <c r="Q95" s="52"/>
      <c r="R95" s="52"/>
    </row>
    <row r="96" spans="1:18" x14ac:dyDescent="0.3">
      <c r="A96" s="8">
        <v>20190509</v>
      </c>
      <c r="B96" s="9">
        <v>124.92</v>
      </c>
      <c r="C96" s="9">
        <v>76.790000000000006</v>
      </c>
      <c r="D96" s="54">
        <f t="shared" si="2"/>
        <v>1.626774319572861</v>
      </c>
      <c r="Q96" s="52"/>
      <c r="R96" s="52"/>
    </row>
    <row r="97" spans="1:18" x14ac:dyDescent="0.3">
      <c r="A97" s="8">
        <v>20190510</v>
      </c>
      <c r="B97" s="9">
        <v>124.75</v>
      </c>
      <c r="C97" s="9">
        <v>76.67</v>
      </c>
      <c r="D97" s="54">
        <f t="shared" si="2"/>
        <v>1.6271031694274161</v>
      </c>
      <c r="Q97" s="52"/>
      <c r="R97" s="52"/>
    </row>
    <row r="98" spans="1:18" x14ac:dyDescent="0.3">
      <c r="A98" s="8">
        <v>20190513</v>
      </c>
      <c r="B98" s="9">
        <v>125.73</v>
      </c>
      <c r="C98" s="9">
        <v>77.319999999999993</v>
      </c>
      <c r="D98" s="54">
        <f t="shared" si="2"/>
        <v>1.6260993274702538</v>
      </c>
      <c r="Q98" s="52"/>
      <c r="R98" s="52"/>
    </row>
    <row r="99" spans="1:18" x14ac:dyDescent="0.3">
      <c r="A99" s="8">
        <v>20190514</v>
      </c>
      <c r="B99" s="9">
        <v>125.36</v>
      </c>
      <c r="C99" s="9">
        <v>77.069999999999993</v>
      </c>
      <c r="D99" s="54">
        <f t="shared" si="2"/>
        <v>1.6265732451018555</v>
      </c>
      <c r="Q99" s="52"/>
      <c r="R99" s="52"/>
    </row>
    <row r="100" spans="1:18" x14ac:dyDescent="0.3">
      <c r="A100" s="8">
        <v>20190515</v>
      </c>
      <c r="B100" s="9">
        <v>126.13</v>
      </c>
      <c r="C100" s="9">
        <v>77.55</v>
      </c>
      <c r="D100" s="54">
        <f t="shared" si="2"/>
        <v>1.6264345583494519</v>
      </c>
      <c r="Q100" s="52"/>
      <c r="R100" s="52"/>
    </row>
    <row r="101" spans="1:18" x14ac:dyDescent="0.3">
      <c r="A101" s="8">
        <v>20190516</v>
      </c>
      <c r="B101" s="9">
        <v>125.71</v>
      </c>
      <c r="C101" s="9">
        <v>77.290000000000006</v>
      </c>
      <c r="D101" s="54">
        <f t="shared" si="2"/>
        <v>1.6264717298486218</v>
      </c>
      <c r="Q101" s="52"/>
      <c r="R101" s="52"/>
    </row>
    <row r="102" spans="1:18" x14ac:dyDescent="0.3">
      <c r="A102" s="8">
        <v>20190517</v>
      </c>
      <c r="B102" s="9">
        <v>125.99</v>
      </c>
      <c r="C102" s="9">
        <v>77.510000000000005</v>
      </c>
      <c r="D102" s="54">
        <f t="shared" si="2"/>
        <v>1.6254676815894722</v>
      </c>
      <c r="Q102" s="52"/>
      <c r="R102" s="52"/>
    </row>
    <row r="103" spans="1:18" x14ac:dyDescent="0.3">
      <c r="A103" s="8">
        <v>20190520</v>
      </c>
      <c r="B103" s="9">
        <v>125.73</v>
      </c>
      <c r="C103" s="9">
        <v>77.34</v>
      </c>
      <c r="D103" s="54">
        <f t="shared" si="2"/>
        <v>1.6256788207913111</v>
      </c>
      <c r="Q103" s="52"/>
      <c r="R103" s="52"/>
    </row>
    <row r="104" spans="1:18" x14ac:dyDescent="0.3">
      <c r="A104" s="8">
        <v>20190521</v>
      </c>
      <c r="B104" s="9">
        <v>125.53</v>
      </c>
      <c r="C104" s="9">
        <v>77.2</v>
      </c>
      <c r="D104" s="54">
        <f t="shared" si="2"/>
        <v>1.6260362694300519</v>
      </c>
      <c r="Q104" s="52"/>
      <c r="R104" s="52"/>
    </row>
    <row r="105" spans="1:18" x14ac:dyDescent="0.3">
      <c r="A105" s="8">
        <v>20190522</v>
      </c>
      <c r="B105" s="9">
        <v>126.25</v>
      </c>
      <c r="C105" s="9">
        <v>77.63</v>
      </c>
      <c r="D105" s="54">
        <f t="shared" si="2"/>
        <v>1.6263042638155354</v>
      </c>
      <c r="Q105" s="52"/>
      <c r="R105" s="52"/>
    </row>
    <row r="106" spans="1:18" x14ac:dyDescent="0.3">
      <c r="A106" s="8">
        <v>20190523</v>
      </c>
      <c r="B106" s="9">
        <v>127.67</v>
      </c>
      <c r="C106" s="9">
        <v>78.5</v>
      </c>
      <c r="D106" s="54">
        <f t="shared" si="2"/>
        <v>1.6263694267515925</v>
      </c>
      <c r="Q106" s="52"/>
      <c r="R106" s="52"/>
    </row>
    <row r="107" spans="1:18" x14ac:dyDescent="0.3">
      <c r="A107" s="8">
        <v>20190524</v>
      </c>
      <c r="B107" s="9">
        <v>127.78</v>
      </c>
      <c r="C107" s="9">
        <v>78.53</v>
      </c>
      <c r="D107" s="54">
        <f t="shared" si="2"/>
        <v>1.6271488603081625</v>
      </c>
      <c r="Q107" s="52"/>
      <c r="R107" s="52"/>
    </row>
    <row r="108" spans="1:18" x14ac:dyDescent="0.3">
      <c r="A108" s="8">
        <v>20190528</v>
      </c>
      <c r="B108" s="9">
        <v>128.79</v>
      </c>
      <c r="C108" s="9">
        <v>79.14</v>
      </c>
      <c r="D108" s="54">
        <f t="shared" si="2"/>
        <v>1.6273692191053828</v>
      </c>
      <c r="Q108" s="52"/>
      <c r="R108" s="52"/>
    </row>
    <row r="109" spans="1:18" x14ac:dyDescent="0.3">
      <c r="A109" s="8">
        <v>20190529</v>
      </c>
      <c r="B109" s="9">
        <v>129.09</v>
      </c>
      <c r="C109" s="9">
        <v>79.349999999999994</v>
      </c>
      <c r="D109" s="54">
        <f t="shared" si="2"/>
        <v>1.626843100189036</v>
      </c>
      <c r="Q109" s="52"/>
      <c r="R109" s="52"/>
    </row>
    <row r="110" spans="1:18" x14ac:dyDescent="0.3">
      <c r="A110" s="8">
        <v>20190530</v>
      </c>
      <c r="B110" s="9">
        <v>130.19999999999999</v>
      </c>
      <c r="C110" s="9">
        <v>80.010000000000005</v>
      </c>
      <c r="D110" s="54">
        <f t="shared" si="2"/>
        <v>1.6272965879265089</v>
      </c>
      <c r="Q110" s="52"/>
      <c r="R110" s="52"/>
    </row>
    <row r="111" spans="1:18" x14ac:dyDescent="0.3">
      <c r="A111" s="8">
        <v>20190531</v>
      </c>
      <c r="B111" s="9">
        <v>131.83000000000001</v>
      </c>
      <c r="C111" s="9">
        <v>81.02</v>
      </c>
      <c r="D111" s="54">
        <f t="shared" si="2"/>
        <v>1.6271291039249571</v>
      </c>
      <c r="Q111" s="52"/>
      <c r="R111" s="52"/>
    </row>
    <row r="112" spans="1:18" x14ac:dyDescent="0.3">
      <c r="A112" s="8">
        <v>20190603</v>
      </c>
      <c r="B112" s="9">
        <v>132.44</v>
      </c>
      <c r="C112" s="9">
        <v>81.349999999999994</v>
      </c>
      <c r="D112" s="54">
        <f t="shared" si="2"/>
        <v>1.6280270436385986</v>
      </c>
      <c r="Q112" s="52"/>
      <c r="R112" s="52"/>
    </row>
    <row r="113" spans="1:18" x14ac:dyDescent="0.3">
      <c r="A113" s="8">
        <v>20190604</v>
      </c>
      <c r="B113" s="9">
        <v>130.93</v>
      </c>
      <c r="C113" s="9">
        <v>80.459999999999994</v>
      </c>
      <c r="D113" s="54">
        <f t="shared" si="2"/>
        <v>1.6272682078051208</v>
      </c>
      <c r="Q113" s="52"/>
      <c r="R113" s="52"/>
    </row>
    <row r="114" spans="1:18" x14ac:dyDescent="0.3">
      <c r="A114" s="8">
        <v>20190605</v>
      </c>
      <c r="B114" s="9">
        <v>130.19</v>
      </c>
      <c r="C114" s="9">
        <v>80.02</v>
      </c>
      <c r="D114" s="54">
        <f t="shared" si="2"/>
        <v>1.6269682579355162</v>
      </c>
      <c r="Q114" s="52"/>
      <c r="R114" s="52"/>
    </row>
    <row r="115" spans="1:18" x14ac:dyDescent="0.3">
      <c r="A115" s="8">
        <v>20190606</v>
      </c>
      <c r="B115" s="9">
        <v>130.61000000000001</v>
      </c>
      <c r="C115" s="9">
        <v>80.27</v>
      </c>
      <c r="D115" s="54">
        <f t="shared" si="2"/>
        <v>1.6271334246916658</v>
      </c>
      <c r="Q115" s="52"/>
      <c r="R115" s="52"/>
    </row>
    <row r="116" spans="1:18" x14ac:dyDescent="0.3">
      <c r="A116" s="8">
        <v>20190607</v>
      </c>
      <c r="B116" s="9">
        <v>131.74</v>
      </c>
      <c r="C116" s="9">
        <v>80.92</v>
      </c>
      <c r="D116" s="54">
        <f t="shared" si="2"/>
        <v>1.6280276816608998</v>
      </c>
      <c r="Q116" s="52"/>
      <c r="R116" s="52"/>
    </row>
    <row r="117" spans="1:18" x14ac:dyDescent="0.3">
      <c r="A117" s="8">
        <v>20190610</v>
      </c>
      <c r="B117" s="9">
        <v>130.5</v>
      </c>
      <c r="C117" s="9">
        <v>80.2</v>
      </c>
      <c r="D117" s="54">
        <f t="shared" si="2"/>
        <v>1.6271820448877805</v>
      </c>
      <c r="Q117" s="52"/>
      <c r="R117" s="52"/>
    </row>
    <row r="118" spans="1:18" x14ac:dyDescent="0.3">
      <c r="A118" s="8">
        <v>20190611</v>
      </c>
      <c r="B118" s="9">
        <v>130.58000000000001</v>
      </c>
      <c r="C118" s="9">
        <v>80.290000000000006</v>
      </c>
      <c r="D118" s="54">
        <f t="shared" si="2"/>
        <v>1.6263544650641426</v>
      </c>
      <c r="Q118" s="52"/>
      <c r="R118" s="52"/>
    </row>
    <row r="119" spans="1:18" x14ac:dyDescent="0.3">
      <c r="A119" s="8">
        <v>20190612</v>
      </c>
      <c r="B119" s="9">
        <v>130.68</v>
      </c>
      <c r="C119" s="9">
        <v>80.33</v>
      </c>
      <c r="D119" s="54">
        <f t="shared" si="2"/>
        <v>1.6267894933399727</v>
      </c>
      <c r="Q119" s="52"/>
      <c r="R119" s="52"/>
    </row>
    <row r="120" spans="1:18" x14ac:dyDescent="0.3">
      <c r="A120" s="8">
        <v>20190613</v>
      </c>
      <c r="B120" s="9">
        <v>131.13</v>
      </c>
      <c r="C120" s="9">
        <v>80.61</v>
      </c>
      <c r="D120" s="54">
        <f t="shared" si="2"/>
        <v>1.6267212504652029</v>
      </c>
      <c r="Q120" s="52"/>
      <c r="R120" s="52"/>
    </row>
    <row r="121" spans="1:18" x14ac:dyDescent="0.3">
      <c r="A121" s="8">
        <v>20190614</v>
      </c>
      <c r="B121" s="9">
        <v>131.46</v>
      </c>
      <c r="C121" s="9">
        <v>80.75</v>
      </c>
      <c r="D121" s="54">
        <f t="shared" si="2"/>
        <v>1.6279876160990714</v>
      </c>
      <c r="Q121" s="52"/>
      <c r="R121" s="52"/>
    </row>
    <row r="122" spans="1:18" x14ac:dyDescent="0.3">
      <c r="A122" s="8">
        <v>20190617</v>
      </c>
      <c r="B122" s="9">
        <v>131.69</v>
      </c>
      <c r="C122" s="9">
        <v>80.930000000000007</v>
      </c>
      <c r="D122" s="54">
        <f t="shared" si="2"/>
        <v>1.6272086988755714</v>
      </c>
      <c r="Q122" s="52"/>
      <c r="R122" s="52"/>
    </row>
    <row r="123" spans="1:18" x14ac:dyDescent="0.3">
      <c r="A123" s="8">
        <v>20190618</v>
      </c>
      <c r="B123" s="9">
        <v>132.35</v>
      </c>
      <c r="C123" s="9">
        <v>81.27</v>
      </c>
      <c r="D123" s="54">
        <f t="shared" si="2"/>
        <v>1.6285222099175587</v>
      </c>
      <c r="Q123" s="52"/>
      <c r="R123" s="52"/>
    </row>
    <row r="124" spans="1:18" x14ac:dyDescent="0.3">
      <c r="A124" s="8">
        <v>20190619</v>
      </c>
      <c r="B124" s="9">
        <v>132.54</v>
      </c>
      <c r="C124" s="9">
        <v>81.459999999999994</v>
      </c>
      <c r="D124" s="54">
        <f t="shared" si="2"/>
        <v>1.6270562239135773</v>
      </c>
      <c r="Q124" s="52"/>
      <c r="R124" s="52"/>
    </row>
    <row r="125" spans="1:18" x14ac:dyDescent="0.3">
      <c r="A125" s="8">
        <v>20190620</v>
      </c>
      <c r="B125" s="9">
        <v>132.88999999999999</v>
      </c>
      <c r="C125" s="9">
        <v>81.62</v>
      </c>
      <c r="D125" s="54">
        <f t="shared" si="2"/>
        <v>1.6281548640039203</v>
      </c>
      <c r="Q125" s="52"/>
      <c r="R125" s="52"/>
    </row>
    <row r="126" spans="1:18" x14ac:dyDescent="0.3">
      <c r="A126" s="8">
        <v>20190621</v>
      </c>
      <c r="B126" s="9">
        <v>131.43</v>
      </c>
      <c r="C126" s="9">
        <v>80.8</v>
      </c>
      <c r="D126" s="54">
        <f t="shared" si="2"/>
        <v>1.6266089108910893</v>
      </c>
      <c r="Q126" s="52"/>
      <c r="R126" s="52"/>
    </row>
    <row r="127" spans="1:18" x14ac:dyDescent="0.3">
      <c r="A127" s="8">
        <v>20190624</v>
      </c>
      <c r="B127" s="9">
        <v>132.41</v>
      </c>
      <c r="C127" s="9">
        <v>81.36</v>
      </c>
      <c r="D127" s="54">
        <f t="shared" si="2"/>
        <v>1.6274582104228121</v>
      </c>
      <c r="Q127" s="52"/>
      <c r="R127" s="52"/>
    </row>
    <row r="128" spans="1:18" x14ac:dyDescent="0.3">
      <c r="A128" s="8">
        <v>20190625</v>
      </c>
      <c r="B128" s="9">
        <v>132.82</v>
      </c>
      <c r="C128" s="9">
        <v>81.64</v>
      </c>
      <c r="D128" s="54">
        <f t="shared" si="2"/>
        <v>1.6268985791278785</v>
      </c>
      <c r="Q128" s="52"/>
      <c r="R128" s="52"/>
    </row>
    <row r="129" spans="1:18" x14ac:dyDescent="0.3">
      <c r="A129" s="8">
        <v>20190626</v>
      </c>
      <c r="B129" s="9">
        <v>131.97</v>
      </c>
      <c r="C129" s="9">
        <v>81.11</v>
      </c>
      <c r="D129" s="54">
        <f t="shared" si="2"/>
        <v>1.6270496856121317</v>
      </c>
      <c r="Q129" s="52"/>
      <c r="R129" s="52"/>
    </row>
    <row r="130" spans="1:18" x14ac:dyDescent="0.3">
      <c r="A130" s="8">
        <v>20190627</v>
      </c>
      <c r="B130" s="9">
        <v>132.9</v>
      </c>
      <c r="C130" s="9">
        <v>81.67</v>
      </c>
      <c r="D130" s="54">
        <f t="shared" si="2"/>
        <v>1.6272805191624833</v>
      </c>
      <c r="Q130" s="52"/>
      <c r="R130" s="52"/>
    </row>
    <row r="131" spans="1:18" x14ac:dyDescent="0.3">
      <c r="A131" s="8">
        <v>20190628</v>
      </c>
      <c r="B131" s="9">
        <v>132.81</v>
      </c>
      <c r="C131" s="9">
        <v>81.650000000000006</v>
      </c>
      <c r="D131" s="54">
        <f t="shared" si="2"/>
        <v>1.6265768524188609</v>
      </c>
      <c r="Q131" s="52"/>
      <c r="R131" s="52"/>
    </row>
    <row r="132" spans="1:18" x14ac:dyDescent="0.3">
      <c r="A132" s="8">
        <v>20190701</v>
      </c>
      <c r="B132" s="9">
        <v>132.24</v>
      </c>
      <c r="C132" s="9">
        <v>81.260000000000005</v>
      </c>
      <c r="D132" s="54">
        <f t="shared" si="2"/>
        <v>1.6273689392074822</v>
      </c>
      <c r="Q132" s="52"/>
      <c r="R132" s="52"/>
    </row>
    <row r="133" spans="1:18" x14ac:dyDescent="0.3">
      <c r="A133" s="8">
        <v>20190702</v>
      </c>
      <c r="B133" s="9">
        <v>133.26</v>
      </c>
      <c r="C133" s="9">
        <v>81.89</v>
      </c>
      <c r="D133" s="54">
        <f t="shared" si="2"/>
        <v>1.6273049212358039</v>
      </c>
      <c r="Q133" s="52"/>
      <c r="R133" s="52"/>
    </row>
    <row r="134" spans="1:18" x14ac:dyDescent="0.3">
      <c r="A134" s="8">
        <v>20190703</v>
      </c>
      <c r="B134" s="9">
        <v>134.21</v>
      </c>
      <c r="C134" s="9">
        <v>82.4</v>
      </c>
      <c r="D134" s="54">
        <f t="shared" si="2"/>
        <v>1.6287621359223301</v>
      </c>
      <c r="Q134" s="52"/>
      <c r="R134" s="52"/>
    </row>
    <row r="135" spans="1:18" x14ac:dyDescent="0.3">
      <c r="A135" s="8">
        <v>20190705</v>
      </c>
      <c r="B135" s="9">
        <v>132.43</v>
      </c>
      <c r="C135" s="9">
        <v>81.39</v>
      </c>
      <c r="D135" s="54">
        <f t="shared" si="2"/>
        <v>1.627104066838678</v>
      </c>
      <c r="Q135" s="52"/>
      <c r="R135" s="52"/>
    </row>
    <row r="136" spans="1:18" x14ac:dyDescent="0.3">
      <c r="A136" s="8">
        <v>20190708</v>
      </c>
      <c r="B136" s="9">
        <v>132.61000000000001</v>
      </c>
      <c r="C136" s="9">
        <v>81.5</v>
      </c>
      <c r="D136" s="54">
        <f t="shared" si="2"/>
        <v>1.6271165644171781</v>
      </c>
      <c r="Q136" s="52"/>
      <c r="R136" s="52"/>
    </row>
    <row r="137" spans="1:18" x14ac:dyDescent="0.3">
      <c r="A137" s="8">
        <v>20190709</v>
      </c>
      <c r="B137" s="9">
        <v>132.56</v>
      </c>
      <c r="C137" s="9">
        <v>81.459999999999994</v>
      </c>
      <c r="D137" s="54">
        <f t="shared" ref="D137:D200" si="3">B137/C137</f>
        <v>1.6273017431868404</v>
      </c>
      <c r="Q137" s="52"/>
      <c r="R137" s="52"/>
    </row>
    <row r="138" spans="1:18" x14ac:dyDescent="0.3">
      <c r="A138" s="8">
        <v>20190710</v>
      </c>
      <c r="B138" s="9">
        <v>131.83000000000001</v>
      </c>
      <c r="C138" s="9">
        <v>81.03</v>
      </c>
      <c r="D138" s="54">
        <f t="shared" si="3"/>
        <v>1.626928298161175</v>
      </c>
      <c r="Q138" s="52"/>
      <c r="R138" s="52"/>
    </row>
    <row r="139" spans="1:18" x14ac:dyDescent="0.3">
      <c r="A139" s="8">
        <v>20190711</v>
      </c>
      <c r="B139" s="9">
        <v>130.07</v>
      </c>
      <c r="C139" s="9">
        <v>79.98</v>
      </c>
      <c r="D139" s="54">
        <f t="shared" si="3"/>
        <v>1.6262815703925979</v>
      </c>
      <c r="Q139" s="52"/>
      <c r="R139" s="52"/>
    </row>
    <row r="140" spans="1:18" x14ac:dyDescent="0.3">
      <c r="A140" s="8">
        <v>20190712</v>
      </c>
      <c r="B140" s="9">
        <v>130.22</v>
      </c>
      <c r="C140" s="9">
        <v>80.05</v>
      </c>
      <c r="D140" s="54">
        <f t="shared" si="3"/>
        <v>1.6267332916926922</v>
      </c>
      <c r="Q140" s="52"/>
      <c r="R140" s="52"/>
    </row>
    <row r="141" spans="1:18" x14ac:dyDescent="0.3">
      <c r="A141" s="8">
        <v>20190715</v>
      </c>
      <c r="B141" s="9">
        <v>130.97</v>
      </c>
      <c r="C141" s="9">
        <v>80.53</v>
      </c>
      <c r="D141" s="54">
        <f t="shared" si="3"/>
        <v>1.626350428411772</v>
      </c>
      <c r="Q141" s="52"/>
      <c r="R141" s="52"/>
    </row>
    <row r="142" spans="1:18" x14ac:dyDescent="0.3">
      <c r="A142" s="8">
        <v>20190716</v>
      </c>
      <c r="B142" s="9">
        <v>130.58000000000001</v>
      </c>
      <c r="C142" s="9">
        <v>80.23</v>
      </c>
      <c r="D142" s="54">
        <f t="shared" si="3"/>
        <v>1.6275707341393495</v>
      </c>
      <c r="Q142" s="52"/>
      <c r="R142" s="52"/>
    </row>
    <row r="143" spans="1:18" x14ac:dyDescent="0.3">
      <c r="A143" s="8">
        <v>20190717</v>
      </c>
      <c r="B143" s="9">
        <v>131.99</v>
      </c>
      <c r="C143" s="9">
        <v>81.14</v>
      </c>
      <c r="D143" s="54">
        <f t="shared" si="3"/>
        <v>1.626694601922603</v>
      </c>
      <c r="Q143" s="52"/>
      <c r="R143" s="52"/>
    </row>
    <row r="144" spans="1:18" x14ac:dyDescent="0.3">
      <c r="A144" s="8">
        <v>20190718</v>
      </c>
      <c r="B144" s="9">
        <v>132</v>
      </c>
      <c r="C144" s="9">
        <v>81.13</v>
      </c>
      <c r="D144" s="54">
        <f t="shared" si="3"/>
        <v>1.6270183655860966</v>
      </c>
      <c r="Q144" s="52"/>
      <c r="R144" s="52"/>
    </row>
    <row r="145" spans="1:18" x14ac:dyDescent="0.3">
      <c r="A145" s="8">
        <v>20190719</v>
      </c>
      <c r="B145" s="9">
        <v>131.69</v>
      </c>
      <c r="C145" s="9">
        <v>80.98</v>
      </c>
      <c r="D145" s="54">
        <f t="shared" si="3"/>
        <v>1.6262040009878982</v>
      </c>
      <c r="Q145" s="52"/>
      <c r="R145" s="52"/>
    </row>
    <row r="146" spans="1:18" x14ac:dyDescent="0.3">
      <c r="A146" s="8">
        <v>20190722</v>
      </c>
      <c r="B146" s="9">
        <v>131.94</v>
      </c>
      <c r="C146" s="9">
        <v>81.09</v>
      </c>
      <c r="D146" s="54">
        <f t="shared" si="3"/>
        <v>1.6270810210876803</v>
      </c>
      <c r="Q146" s="52"/>
      <c r="R146" s="52"/>
    </row>
    <row r="147" spans="1:18" x14ac:dyDescent="0.3">
      <c r="A147" s="8">
        <v>20190723</v>
      </c>
      <c r="B147" s="9">
        <v>131.22</v>
      </c>
      <c r="C147" s="9">
        <v>80.680000000000007</v>
      </c>
      <c r="D147" s="54">
        <f t="shared" si="3"/>
        <v>1.6264253842340108</v>
      </c>
      <c r="Q147" s="52"/>
      <c r="R147" s="52"/>
    </row>
    <row r="148" spans="1:18" x14ac:dyDescent="0.3">
      <c r="A148" s="8">
        <v>20190724</v>
      </c>
      <c r="B148" s="9">
        <v>131.79</v>
      </c>
      <c r="C148" s="9">
        <v>81.010000000000005</v>
      </c>
      <c r="D148" s="54">
        <f t="shared" si="3"/>
        <v>1.6268361930625848</v>
      </c>
      <c r="Q148" s="52"/>
      <c r="R148" s="52"/>
    </row>
    <row r="149" spans="1:18" x14ac:dyDescent="0.3">
      <c r="A149" s="8">
        <v>20190725</v>
      </c>
      <c r="B149" s="9">
        <v>131.16</v>
      </c>
      <c r="C149" s="9">
        <v>80.650000000000006</v>
      </c>
      <c r="D149" s="54">
        <f t="shared" si="3"/>
        <v>1.626286422814631</v>
      </c>
      <c r="Q149" s="52"/>
      <c r="R149" s="52"/>
    </row>
    <row r="150" spans="1:18" x14ac:dyDescent="0.3">
      <c r="A150" s="8">
        <v>20190726</v>
      </c>
      <c r="B150" s="9">
        <v>131.47</v>
      </c>
      <c r="C150" s="9">
        <v>80.790000000000006</v>
      </c>
      <c r="D150" s="54">
        <f t="shared" si="3"/>
        <v>1.6273053595742046</v>
      </c>
      <c r="Q150" s="52"/>
      <c r="R150" s="52"/>
    </row>
    <row r="151" spans="1:18" x14ac:dyDescent="0.3">
      <c r="A151" s="8">
        <v>20190729</v>
      </c>
      <c r="B151" s="9">
        <v>131.51</v>
      </c>
      <c r="C151" s="9">
        <v>80.849999999999994</v>
      </c>
      <c r="D151" s="54">
        <f t="shared" si="3"/>
        <v>1.6265924551638837</v>
      </c>
      <c r="Q151" s="52"/>
      <c r="R151" s="52"/>
    </row>
    <row r="152" spans="1:18" x14ac:dyDescent="0.3">
      <c r="A152" s="8">
        <v>20190730</v>
      </c>
      <c r="B152" s="9">
        <v>131.83000000000001</v>
      </c>
      <c r="C152" s="9">
        <v>81.040000000000006</v>
      </c>
      <c r="D152" s="54">
        <f t="shared" si="3"/>
        <v>1.6267275419545904</v>
      </c>
      <c r="Q152" s="52"/>
      <c r="R152" s="52"/>
    </row>
    <row r="153" spans="1:18" x14ac:dyDescent="0.3">
      <c r="A153" s="8">
        <v>20190731</v>
      </c>
      <c r="B153" s="9">
        <v>132.88999999999999</v>
      </c>
      <c r="C153" s="9">
        <v>81.72</v>
      </c>
      <c r="D153" s="54">
        <f t="shared" si="3"/>
        <v>1.626162506118453</v>
      </c>
      <c r="Q153" s="52"/>
      <c r="R153" s="52"/>
    </row>
    <row r="154" spans="1:18" x14ac:dyDescent="0.3">
      <c r="A154" s="8">
        <v>20190801</v>
      </c>
      <c r="B154" s="9">
        <v>135.26</v>
      </c>
      <c r="C154" s="9">
        <v>83.04</v>
      </c>
      <c r="D154" s="54">
        <f t="shared" si="3"/>
        <v>1.628853564547206</v>
      </c>
      <c r="Q154" s="52"/>
      <c r="R154" s="52"/>
    </row>
    <row r="155" spans="1:18" x14ac:dyDescent="0.3">
      <c r="A155" s="8">
        <v>20190802</v>
      </c>
      <c r="B155" s="9">
        <v>136.51</v>
      </c>
      <c r="C155" s="9">
        <v>83.74</v>
      </c>
      <c r="D155" s="54">
        <f t="shared" si="3"/>
        <v>1.6301647957965131</v>
      </c>
      <c r="Q155" s="52"/>
      <c r="R155" s="52"/>
    </row>
    <row r="156" spans="1:18" x14ac:dyDescent="0.3">
      <c r="A156" s="8">
        <v>20190805</v>
      </c>
      <c r="B156" s="9">
        <v>138.87</v>
      </c>
      <c r="C156" s="9">
        <v>85.22</v>
      </c>
      <c r="D156" s="54">
        <f t="shared" si="3"/>
        <v>1.6295470546819997</v>
      </c>
      <c r="Q156" s="52"/>
      <c r="R156" s="52"/>
    </row>
    <row r="157" spans="1:18" x14ac:dyDescent="0.3">
      <c r="A157" s="8">
        <v>20190806</v>
      </c>
      <c r="B157" s="9">
        <v>139.97999999999999</v>
      </c>
      <c r="C157" s="9">
        <v>85.81</v>
      </c>
      <c r="D157" s="54">
        <f t="shared" si="3"/>
        <v>1.6312784057802119</v>
      </c>
      <c r="Q157" s="52"/>
      <c r="R157" s="52"/>
    </row>
    <row r="158" spans="1:18" x14ac:dyDescent="0.3">
      <c r="A158" s="8">
        <v>20190807</v>
      </c>
      <c r="B158" s="9">
        <v>140.03</v>
      </c>
      <c r="C158" s="9">
        <v>85.89</v>
      </c>
      <c r="D158" s="54">
        <f t="shared" si="3"/>
        <v>1.6303411340086156</v>
      </c>
      <c r="Q158" s="52"/>
      <c r="R158" s="52"/>
    </row>
    <row r="159" spans="1:18" x14ac:dyDescent="0.3">
      <c r="A159" s="8">
        <v>20190808</v>
      </c>
      <c r="B159" s="9">
        <v>140.33000000000001</v>
      </c>
      <c r="C159" s="9">
        <v>86.06</v>
      </c>
      <c r="D159" s="54">
        <f t="shared" si="3"/>
        <v>1.6306065535672787</v>
      </c>
      <c r="Q159" s="52"/>
      <c r="R159" s="52"/>
    </row>
    <row r="160" spans="1:18" x14ac:dyDescent="0.3">
      <c r="A160" s="8">
        <v>20190809</v>
      </c>
      <c r="B160" s="9">
        <v>140.05000000000001</v>
      </c>
      <c r="C160" s="9">
        <v>85.87</v>
      </c>
      <c r="D160" s="54">
        <f t="shared" si="3"/>
        <v>1.6309537673226973</v>
      </c>
      <c r="Q160" s="52"/>
      <c r="R160" s="52"/>
    </row>
    <row r="161" spans="1:18" x14ac:dyDescent="0.3">
      <c r="A161" s="8">
        <v>20190812</v>
      </c>
      <c r="B161" s="9">
        <v>142.97</v>
      </c>
      <c r="C161" s="9">
        <v>87.66</v>
      </c>
      <c r="D161" s="54">
        <f t="shared" si="3"/>
        <v>1.6309605293178189</v>
      </c>
      <c r="Q161" s="52"/>
      <c r="R161" s="52"/>
    </row>
    <row r="162" spans="1:18" x14ac:dyDescent="0.3">
      <c r="A162" s="8">
        <v>20190813</v>
      </c>
      <c r="B162" s="9">
        <v>142.47999999999999</v>
      </c>
      <c r="C162" s="9">
        <v>87.33</v>
      </c>
      <c r="D162" s="54">
        <f t="shared" si="3"/>
        <v>1.6315126531547004</v>
      </c>
      <c r="Q162" s="52"/>
      <c r="R162" s="52"/>
    </row>
    <row r="163" spans="1:18" x14ac:dyDescent="0.3">
      <c r="A163" s="8">
        <v>20190814</v>
      </c>
      <c r="B163" s="9">
        <v>145.69</v>
      </c>
      <c r="C163" s="9">
        <v>89.22</v>
      </c>
      <c r="D163" s="54">
        <f t="shared" si="3"/>
        <v>1.6329298363595606</v>
      </c>
      <c r="Q163" s="52"/>
      <c r="R163" s="52"/>
    </row>
    <row r="164" spans="1:18" x14ac:dyDescent="0.3">
      <c r="A164" s="8">
        <v>20190815</v>
      </c>
      <c r="B164" s="9">
        <v>147.31</v>
      </c>
      <c r="C164" s="9">
        <v>90.22</v>
      </c>
      <c r="D164" s="54">
        <f t="shared" si="3"/>
        <v>1.6327865218355133</v>
      </c>
      <c r="Q164" s="52"/>
      <c r="R164" s="52"/>
    </row>
    <row r="165" spans="1:18" x14ac:dyDescent="0.3">
      <c r="A165" s="8">
        <v>20190816</v>
      </c>
      <c r="B165" s="9">
        <v>146.13</v>
      </c>
      <c r="C165" s="9">
        <v>89.51</v>
      </c>
      <c r="D165" s="54">
        <f t="shared" si="3"/>
        <v>1.6325550217852753</v>
      </c>
      <c r="Q165" s="52"/>
      <c r="R165" s="52"/>
    </row>
    <row r="166" spans="1:18" x14ac:dyDescent="0.3">
      <c r="A166" s="8">
        <v>20190819</v>
      </c>
      <c r="B166" s="9">
        <v>144.04</v>
      </c>
      <c r="C166" s="9">
        <v>88.33</v>
      </c>
      <c r="D166" s="54">
        <f t="shared" si="3"/>
        <v>1.6307030453979394</v>
      </c>
      <c r="Q166" s="52"/>
      <c r="R166" s="52"/>
    </row>
    <row r="167" spans="1:18" x14ac:dyDescent="0.3">
      <c r="A167" s="8">
        <v>20190820</v>
      </c>
      <c r="B167" s="9">
        <v>145.53</v>
      </c>
      <c r="C167" s="9">
        <v>89.21</v>
      </c>
      <c r="D167" s="54">
        <f t="shared" si="3"/>
        <v>1.6313193588162764</v>
      </c>
      <c r="Q167" s="52"/>
      <c r="R167" s="52"/>
    </row>
    <row r="168" spans="1:18" x14ac:dyDescent="0.3">
      <c r="A168" s="8">
        <v>20190821</v>
      </c>
      <c r="B168" s="9">
        <v>144.56</v>
      </c>
      <c r="C168" s="9">
        <v>88.59</v>
      </c>
      <c r="D168" s="54">
        <f t="shared" si="3"/>
        <v>1.631786883395417</v>
      </c>
      <c r="Q168" s="52"/>
      <c r="R168" s="52"/>
    </row>
    <row r="169" spans="1:18" x14ac:dyDescent="0.3">
      <c r="A169" s="8">
        <v>20190822</v>
      </c>
      <c r="B169" s="9">
        <v>143.6</v>
      </c>
      <c r="C169" s="9">
        <v>88.03</v>
      </c>
      <c r="D169" s="54">
        <f t="shared" si="3"/>
        <v>1.6312620697489491</v>
      </c>
      <c r="Q169" s="52"/>
      <c r="R169" s="52"/>
    </row>
    <row r="170" spans="1:18" x14ac:dyDescent="0.3">
      <c r="A170" s="8">
        <v>20190823</v>
      </c>
      <c r="B170" s="9">
        <v>145.96</v>
      </c>
      <c r="C170" s="9">
        <v>89.45</v>
      </c>
      <c r="D170" s="54">
        <f t="shared" si="3"/>
        <v>1.6317495807713807</v>
      </c>
      <c r="Q170" s="52"/>
      <c r="R170" s="52"/>
    </row>
    <row r="171" spans="1:18" x14ac:dyDescent="0.3">
      <c r="A171" s="8">
        <v>20190826</v>
      </c>
      <c r="B171" s="9">
        <v>145.37</v>
      </c>
      <c r="C171" s="9">
        <v>89.08</v>
      </c>
      <c r="D171" s="54">
        <f t="shared" si="3"/>
        <v>1.6319039066008083</v>
      </c>
      <c r="Q171" s="52"/>
      <c r="R171" s="52"/>
    </row>
    <row r="172" spans="1:18" x14ac:dyDescent="0.3">
      <c r="A172" s="8">
        <v>20190827</v>
      </c>
      <c r="B172" s="9">
        <v>147.61000000000001</v>
      </c>
      <c r="C172" s="9">
        <v>90.46</v>
      </c>
      <c r="D172" s="54">
        <f t="shared" si="3"/>
        <v>1.6317709484855187</v>
      </c>
      <c r="Q172" s="52"/>
      <c r="R172" s="52"/>
    </row>
    <row r="173" spans="1:18" x14ac:dyDescent="0.3">
      <c r="A173" s="8">
        <v>20190828</v>
      </c>
      <c r="B173" s="9">
        <v>147.80000000000001</v>
      </c>
      <c r="C173" s="9">
        <v>90.55</v>
      </c>
      <c r="D173" s="54">
        <f t="shared" si="3"/>
        <v>1.6322473771397019</v>
      </c>
      <c r="Q173" s="52"/>
      <c r="R173" s="52"/>
    </row>
    <row r="174" spans="1:18" x14ac:dyDescent="0.3">
      <c r="A174" s="8">
        <v>20190829</v>
      </c>
      <c r="B174" s="9">
        <v>147.24</v>
      </c>
      <c r="C174" s="9">
        <v>90.22</v>
      </c>
      <c r="D174" s="54">
        <f t="shared" si="3"/>
        <v>1.6320106406561738</v>
      </c>
      <c r="Q174" s="52"/>
      <c r="R174" s="52"/>
    </row>
    <row r="175" spans="1:18" x14ac:dyDescent="0.3">
      <c r="A175" s="8">
        <v>20190830</v>
      </c>
      <c r="B175" s="9">
        <v>147.28</v>
      </c>
      <c r="C175" s="9">
        <v>90.23</v>
      </c>
      <c r="D175" s="54">
        <f t="shared" si="3"/>
        <v>1.6322730799069045</v>
      </c>
      <c r="Q175" s="52"/>
      <c r="R175" s="52"/>
    </row>
    <row r="176" spans="1:18" x14ac:dyDescent="0.3">
      <c r="A176" s="8">
        <v>20190903</v>
      </c>
      <c r="B176" s="9">
        <v>147.21</v>
      </c>
      <c r="C176" s="9">
        <v>90.19</v>
      </c>
      <c r="D176" s="54">
        <f t="shared" si="3"/>
        <v>1.6322208670584324</v>
      </c>
      <c r="Q176" s="52"/>
      <c r="R176" s="52"/>
    </row>
    <row r="177" spans="1:18" x14ac:dyDescent="0.3">
      <c r="A177" s="8">
        <v>20190904</v>
      </c>
      <c r="B177" s="9">
        <v>147.43</v>
      </c>
      <c r="C177" s="9">
        <v>90.27</v>
      </c>
      <c r="D177" s="54">
        <f t="shared" si="3"/>
        <v>1.6332114766810681</v>
      </c>
      <c r="Q177" s="52"/>
      <c r="R177" s="52"/>
    </row>
    <row r="178" spans="1:18" x14ac:dyDescent="0.3">
      <c r="A178" s="8">
        <v>20190905</v>
      </c>
      <c r="B178" s="9">
        <v>144.76</v>
      </c>
      <c r="C178" s="9">
        <v>88.78</v>
      </c>
      <c r="D178" s="54">
        <f t="shared" si="3"/>
        <v>1.6305474205902228</v>
      </c>
      <c r="Q178" s="52"/>
      <c r="R178" s="52"/>
    </row>
    <row r="179" spans="1:18" x14ac:dyDescent="0.3">
      <c r="A179" s="8">
        <v>20190906</v>
      </c>
      <c r="B179" s="9">
        <v>145.79</v>
      </c>
      <c r="C179" s="9">
        <v>89.35</v>
      </c>
      <c r="D179" s="54">
        <f t="shared" si="3"/>
        <v>1.6316731952993844</v>
      </c>
      <c r="Q179" s="52"/>
      <c r="R179" s="52"/>
    </row>
    <row r="180" spans="1:18" x14ac:dyDescent="0.3">
      <c r="A180" s="8">
        <v>20190909</v>
      </c>
      <c r="B180" s="9">
        <v>143.19999999999999</v>
      </c>
      <c r="C180" s="9">
        <v>87.78</v>
      </c>
      <c r="D180" s="54">
        <f t="shared" si="3"/>
        <v>1.6313511050353153</v>
      </c>
      <c r="Q180" s="52"/>
      <c r="R180" s="52"/>
    </row>
    <row r="181" spans="1:18" x14ac:dyDescent="0.3">
      <c r="A181" s="8">
        <v>20190910</v>
      </c>
      <c r="B181" s="9">
        <v>140.69</v>
      </c>
      <c r="C181" s="9">
        <v>86.31</v>
      </c>
      <c r="D181" s="54">
        <f t="shared" si="3"/>
        <v>1.6300544548719731</v>
      </c>
      <c r="Q181" s="52"/>
      <c r="R181" s="52"/>
    </row>
    <row r="182" spans="1:18" x14ac:dyDescent="0.3">
      <c r="A182" s="8">
        <v>20190911</v>
      </c>
      <c r="B182" s="9">
        <v>140.44</v>
      </c>
      <c r="C182" s="9">
        <v>86.14</v>
      </c>
      <c r="D182" s="54">
        <f t="shared" si="3"/>
        <v>1.6303691664731832</v>
      </c>
      <c r="Q182" s="52"/>
      <c r="R182" s="52"/>
    </row>
    <row r="183" spans="1:18" x14ac:dyDescent="0.3">
      <c r="A183" s="8">
        <v>20190912</v>
      </c>
      <c r="B183" s="9">
        <v>139.52000000000001</v>
      </c>
      <c r="C183" s="9">
        <v>85.59</v>
      </c>
      <c r="D183" s="54">
        <f t="shared" si="3"/>
        <v>1.6300969739455544</v>
      </c>
      <c r="Q183" s="52"/>
      <c r="R183" s="52"/>
    </row>
    <row r="184" spans="1:18" x14ac:dyDescent="0.3">
      <c r="A184" s="8">
        <v>20190913</v>
      </c>
      <c r="B184" s="9">
        <v>136.54</v>
      </c>
      <c r="C184" s="9">
        <v>83.83</v>
      </c>
      <c r="D184" s="54">
        <f t="shared" si="3"/>
        <v>1.6287725158057973</v>
      </c>
      <c r="Q184" s="52"/>
      <c r="R184" s="52"/>
    </row>
    <row r="185" spans="1:18" x14ac:dyDescent="0.3">
      <c r="A185" s="8">
        <v>20190916</v>
      </c>
      <c r="B185" s="9">
        <v>138.28</v>
      </c>
      <c r="C185" s="9">
        <v>84.84</v>
      </c>
      <c r="D185" s="54">
        <f t="shared" si="3"/>
        <v>1.6298915605846298</v>
      </c>
      <c r="Q185" s="52"/>
      <c r="R185" s="52"/>
    </row>
    <row r="186" spans="1:18" x14ac:dyDescent="0.3">
      <c r="A186" s="8">
        <v>20190917</v>
      </c>
      <c r="B186" s="9">
        <v>139.03</v>
      </c>
      <c r="C186" s="9">
        <v>85.3</v>
      </c>
      <c r="D186" s="54">
        <f t="shared" si="3"/>
        <v>1.62989449003517</v>
      </c>
      <c r="Q186" s="52"/>
      <c r="R186" s="52"/>
    </row>
    <row r="187" spans="1:18" x14ac:dyDescent="0.3">
      <c r="A187" s="8">
        <v>20190918</v>
      </c>
      <c r="B187" s="9">
        <v>139.62</v>
      </c>
      <c r="C187" s="9">
        <v>85.69</v>
      </c>
      <c r="D187" s="54">
        <f t="shared" si="3"/>
        <v>1.6293616524681995</v>
      </c>
      <c r="Q187" s="52"/>
      <c r="R187" s="52"/>
    </row>
    <row r="188" spans="1:18" x14ac:dyDescent="0.3">
      <c r="A188" s="8">
        <v>20190919</v>
      </c>
      <c r="B188" s="9">
        <v>140.04</v>
      </c>
      <c r="C188" s="9">
        <v>85.91</v>
      </c>
      <c r="D188" s="54">
        <f t="shared" si="3"/>
        <v>1.6300779885927132</v>
      </c>
      <c r="Q188" s="52"/>
      <c r="R188" s="52"/>
    </row>
    <row r="189" spans="1:18" x14ac:dyDescent="0.3">
      <c r="A189" s="8">
        <v>20190920</v>
      </c>
      <c r="B189" s="9">
        <v>141.88999999999999</v>
      </c>
      <c r="C189" s="9">
        <v>87</v>
      </c>
      <c r="D189" s="54">
        <f t="shared" si="3"/>
        <v>1.6309195402298848</v>
      </c>
      <c r="Q189" s="52"/>
      <c r="R189" s="52"/>
    </row>
    <row r="190" spans="1:18" x14ac:dyDescent="0.3">
      <c r="A190" s="8">
        <v>20190923</v>
      </c>
      <c r="B190" s="9">
        <v>141.86000000000001</v>
      </c>
      <c r="C190" s="9">
        <v>87.02</v>
      </c>
      <c r="D190" s="54">
        <f t="shared" si="3"/>
        <v>1.6301999540335557</v>
      </c>
      <c r="Q190" s="52"/>
      <c r="R190" s="52"/>
    </row>
    <row r="191" spans="1:18" x14ac:dyDescent="0.3">
      <c r="A191" s="8">
        <v>20190924</v>
      </c>
      <c r="B191" s="9">
        <v>143.57</v>
      </c>
      <c r="C191" s="9">
        <v>88.05</v>
      </c>
      <c r="D191" s="54">
        <f t="shared" si="3"/>
        <v>1.6305508233957977</v>
      </c>
      <c r="Q191" s="52"/>
      <c r="R191" s="52"/>
    </row>
    <row r="192" spans="1:18" x14ac:dyDescent="0.3">
      <c r="A192" s="8">
        <v>20190925</v>
      </c>
      <c r="B192" s="9">
        <v>141.47</v>
      </c>
      <c r="C192" s="9">
        <v>86.82</v>
      </c>
      <c r="D192" s="54">
        <f t="shared" si="3"/>
        <v>1.6294632573139831</v>
      </c>
      <c r="Q192" s="52"/>
      <c r="R192" s="52"/>
    </row>
    <row r="193" spans="1:18" x14ac:dyDescent="0.3">
      <c r="A193" s="8">
        <v>20190926</v>
      </c>
      <c r="B193" s="9">
        <v>142.38</v>
      </c>
      <c r="C193" s="9">
        <v>87.3</v>
      </c>
      <c r="D193" s="54">
        <f t="shared" si="3"/>
        <v>1.6309278350515464</v>
      </c>
      <c r="Q193" s="52"/>
      <c r="R193" s="52"/>
    </row>
    <row r="194" spans="1:18" x14ac:dyDescent="0.3">
      <c r="A194" s="8">
        <v>20190927</v>
      </c>
      <c r="B194" s="9">
        <v>142.72999999999999</v>
      </c>
      <c r="C194" s="9">
        <v>87.52</v>
      </c>
      <c r="D194" s="54">
        <f t="shared" si="3"/>
        <v>1.6308272394881169</v>
      </c>
      <c r="Q194" s="52"/>
      <c r="R194" s="52"/>
    </row>
    <row r="195" spans="1:18" x14ac:dyDescent="0.3">
      <c r="A195" s="8">
        <v>20190930</v>
      </c>
      <c r="B195" s="9">
        <v>143.08000000000001</v>
      </c>
      <c r="C195" s="9">
        <v>87.74</v>
      </c>
      <c r="D195" s="54">
        <f t="shared" si="3"/>
        <v>1.6307271483929795</v>
      </c>
      <c r="Q195" s="52"/>
      <c r="R195" s="52"/>
    </row>
    <row r="196" spans="1:18" x14ac:dyDescent="0.3">
      <c r="A196" s="8">
        <v>20191001</v>
      </c>
      <c r="B196" s="9">
        <v>143.26</v>
      </c>
      <c r="C196" s="9">
        <v>87.79</v>
      </c>
      <c r="D196" s="54">
        <f t="shared" si="3"/>
        <v>1.6318487299236812</v>
      </c>
      <c r="Q196" s="52"/>
      <c r="R196" s="52"/>
    </row>
    <row r="197" spans="1:18" x14ac:dyDescent="0.3">
      <c r="A197" s="8">
        <v>20191002</v>
      </c>
      <c r="B197" s="9">
        <v>143.61000000000001</v>
      </c>
      <c r="C197" s="9">
        <v>88.06</v>
      </c>
      <c r="D197" s="54">
        <f t="shared" si="3"/>
        <v>1.630819895525778</v>
      </c>
      <c r="Q197" s="52"/>
      <c r="R197" s="52"/>
    </row>
    <row r="198" spans="1:18" x14ac:dyDescent="0.3">
      <c r="A198" s="8">
        <v>20191003</v>
      </c>
      <c r="B198" s="9">
        <v>144.91999999999999</v>
      </c>
      <c r="C198" s="9">
        <v>88.83</v>
      </c>
      <c r="D198" s="54">
        <f t="shared" si="3"/>
        <v>1.6314308229201846</v>
      </c>
      <c r="Q198" s="52"/>
      <c r="R198" s="52"/>
    </row>
    <row r="199" spans="1:18" x14ac:dyDescent="0.3">
      <c r="A199" s="8">
        <v>20191004</v>
      </c>
      <c r="B199" s="9">
        <v>145.99</v>
      </c>
      <c r="C199" s="9">
        <v>89.48</v>
      </c>
      <c r="D199" s="54">
        <f t="shared" si="3"/>
        <v>1.6315377738042021</v>
      </c>
      <c r="Q199" s="52"/>
      <c r="R199" s="52"/>
    </row>
    <row r="200" spans="1:18" x14ac:dyDescent="0.3">
      <c r="A200" s="8">
        <v>20191007</v>
      </c>
      <c r="B200" s="9">
        <v>144.78</v>
      </c>
      <c r="C200" s="9">
        <v>88.78</v>
      </c>
      <c r="D200" s="54">
        <f t="shared" si="3"/>
        <v>1.6307726965532778</v>
      </c>
      <c r="Q200" s="52"/>
      <c r="R200" s="52"/>
    </row>
    <row r="201" spans="1:18" x14ac:dyDescent="0.3">
      <c r="A201" s="8">
        <v>20191008</v>
      </c>
      <c r="B201" s="9">
        <v>145.16999999999999</v>
      </c>
      <c r="C201" s="9">
        <v>88.98</v>
      </c>
      <c r="D201" s="54">
        <f t="shared" ref="D201:D259" si="4">B201/C201</f>
        <v>1.6314902225219148</v>
      </c>
      <c r="Q201" s="52"/>
      <c r="R201" s="52"/>
    </row>
    <row r="202" spans="1:18" x14ac:dyDescent="0.3">
      <c r="A202" s="8">
        <v>20191009</v>
      </c>
      <c r="B202" s="9">
        <v>144.35</v>
      </c>
      <c r="C202" s="9">
        <v>88.44</v>
      </c>
      <c r="D202" s="54">
        <f t="shared" si="4"/>
        <v>1.6321800090456806</v>
      </c>
      <c r="Q202" s="52"/>
      <c r="R202" s="52"/>
    </row>
    <row r="203" spans="1:18" x14ac:dyDescent="0.3">
      <c r="A203" s="8">
        <v>20191010</v>
      </c>
      <c r="B203" s="9">
        <v>142.19999999999999</v>
      </c>
      <c r="C203" s="9">
        <v>87.22</v>
      </c>
      <c r="D203" s="54">
        <f t="shared" si="4"/>
        <v>1.6303600091722081</v>
      </c>
      <c r="Q203" s="52"/>
      <c r="R203" s="52"/>
    </row>
    <row r="204" spans="1:18" x14ac:dyDescent="0.3">
      <c r="A204" s="8">
        <v>20191011</v>
      </c>
      <c r="B204" s="9">
        <v>140.44</v>
      </c>
      <c r="C204" s="9">
        <v>86.19</v>
      </c>
      <c r="D204" s="54">
        <f t="shared" si="4"/>
        <v>1.6294233669799281</v>
      </c>
      <c r="Q204" s="52"/>
      <c r="R204" s="52"/>
    </row>
    <row r="205" spans="1:18" x14ac:dyDescent="0.3">
      <c r="A205" s="8">
        <v>20191014</v>
      </c>
      <c r="B205" s="9">
        <v>141.46</v>
      </c>
      <c r="C205" s="9">
        <v>86.67</v>
      </c>
      <c r="D205" s="54">
        <f t="shared" si="4"/>
        <v>1.6321679935387101</v>
      </c>
      <c r="Q205" s="52"/>
      <c r="R205" s="52"/>
    </row>
    <row r="206" spans="1:18" x14ac:dyDescent="0.3">
      <c r="A206" s="8">
        <v>20191015</v>
      </c>
      <c r="B206" s="9">
        <v>139.75</v>
      </c>
      <c r="C206" s="9">
        <v>85.71</v>
      </c>
      <c r="D206" s="54">
        <f t="shared" si="4"/>
        <v>1.6304981915762455</v>
      </c>
      <c r="Q206" s="52"/>
      <c r="R206" s="52"/>
    </row>
    <row r="207" spans="1:18" x14ac:dyDescent="0.3">
      <c r="A207" s="8">
        <v>20191016</v>
      </c>
      <c r="B207" s="9">
        <v>139.91999999999999</v>
      </c>
      <c r="C207" s="9">
        <v>85.81</v>
      </c>
      <c r="D207" s="54">
        <f t="shared" si="4"/>
        <v>1.630579186574991</v>
      </c>
      <c r="Q207" s="52"/>
      <c r="R207" s="52"/>
    </row>
    <row r="208" spans="1:18" x14ac:dyDescent="0.3">
      <c r="A208" s="8">
        <v>20191017</v>
      </c>
      <c r="B208" s="9">
        <v>139.58000000000001</v>
      </c>
      <c r="C208" s="9">
        <v>85.67</v>
      </c>
      <c r="D208" s="54">
        <f t="shared" si="4"/>
        <v>1.629275125481499</v>
      </c>
      <c r="Q208" s="52"/>
      <c r="R208" s="52"/>
    </row>
    <row r="209" spans="1:18" x14ac:dyDescent="0.3">
      <c r="A209" s="8">
        <v>20191018</v>
      </c>
      <c r="B209" s="9">
        <v>139.58000000000001</v>
      </c>
      <c r="C209" s="9">
        <v>85.63</v>
      </c>
      <c r="D209" s="54">
        <f t="shared" si="4"/>
        <v>1.6300362022655615</v>
      </c>
      <c r="Q209" s="52"/>
      <c r="R209" s="52"/>
    </row>
    <row r="210" spans="1:18" x14ac:dyDescent="0.3">
      <c r="A210" s="8">
        <v>20191021</v>
      </c>
      <c r="B210" s="9">
        <v>138.53</v>
      </c>
      <c r="C210" s="9">
        <v>84.98</v>
      </c>
      <c r="D210" s="54">
        <f t="shared" si="4"/>
        <v>1.6301482701812191</v>
      </c>
      <c r="Q210" s="52"/>
      <c r="R210" s="52"/>
    </row>
    <row r="211" spans="1:18" x14ac:dyDescent="0.3">
      <c r="A211" s="8">
        <v>20191022</v>
      </c>
      <c r="B211" s="9">
        <v>139.34</v>
      </c>
      <c r="C211" s="9">
        <v>85.46</v>
      </c>
      <c r="D211" s="54">
        <f t="shared" si="4"/>
        <v>1.6304703955066699</v>
      </c>
      <c r="Q211" s="52"/>
      <c r="R211" s="52"/>
    </row>
    <row r="212" spans="1:18" x14ac:dyDescent="0.3">
      <c r="A212" s="8">
        <v>20191023</v>
      </c>
      <c r="B212" s="9">
        <v>139.47999999999999</v>
      </c>
      <c r="C212" s="9">
        <v>85.53</v>
      </c>
      <c r="D212" s="54">
        <f t="shared" si="4"/>
        <v>1.6307728282473983</v>
      </c>
      <c r="Q212" s="52"/>
      <c r="R212" s="52"/>
    </row>
    <row r="213" spans="1:18" x14ac:dyDescent="0.3">
      <c r="A213" s="8">
        <v>20191024</v>
      </c>
      <c r="B213" s="9">
        <v>139.19999999999999</v>
      </c>
      <c r="C213" s="9">
        <v>85.39</v>
      </c>
      <c r="D213" s="54">
        <f t="shared" si="4"/>
        <v>1.6301674669165007</v>
      </c>
      <c r="Q213" s="52"/>
      <c r="R213" s="52"/>
    </row>
    <row r="214" spans="1:18" x14ac:dyDescent="0.3">
      <c r="A214" s="8">
        <v>20191025</v>
      </c>
      <c r="B214" s="9">
        <v>138.52000000000001</v>
      </c>
      <c r="C214" s="9">
        <v>84.97</v>
      </c>
      <c r="D214" s="54">
        <f t="shared" si="4"/>
        <v>1.6302224314463929</v>
      </c>
      <c r="Q214" s="52"/>
      <c r="R214" s="52"/>
    </row>
    <row r="215" spans="1:18" x14ac:dyDescent="0.3">
      <c r="A215" s="8">
        <v>20191028</v>
      </c>
      <c r="B215" s="9">
        <v>137.26</v>
      </c>
      <c r="C215" s="9">
        <v>84.25</v>
      </c>
      <c r="D215" s="54">
        <f t="shared" si="4"/>
        <v>1.6291988130563797</v>
      </c>
      <c r="Q215" s="52"/>
      <c r="R215" s="52"/>
    </row>
    <row r="216" spans="1:18" x14ac:dyDescent="0.3">
      <c r="A216" s="8">
        <v>20191029</v>
      </c>
      <c r="B216" s="9">
        <v>137.35</v>
      </c>
      <c r="C216" s="9">
        <v>84.33</v>
      </c>
      <c r="D216" s="54">
        <f t="shared" si="4"/>
        <v>1.6287205027866714</v>
      </c>
      <c r="Q216" s="52"/>
      <c r="R216" s="52"/>
    </row>
    <row r="217" spans="1:18" x14ac:dyDescent="0.3">
      <c r="A217" s="8">
        <v>20191030</v>
      </c>
      <c r="B217" s="9">
        <v>139.36000000000001</v>
      </c>
      <c r="C217" s="9">
        <v>85.47</v>
      </c>
      <c r="D217" s="54">
        <f t="shared" si="4"/>
        <v>1.6305136305136307</v>
      </c>
      <c r="Q217" s="52"/>
      <c r="R217" s="52"/>
    </row>
    <row r="218" spans="1:18" x14ac:dyDescent="0.3">
      <c r="A218" s="8">
        <v>20191031</v>
      </c>
      <c r="B218" s="9">
        <v>141.24</v>
      </c>
      <c r="C218" s="9">
        <v>86.61</v>
      </c>
      <c r="D218" s="54">
        <f t="shared" si="4"/>
        <v>1.6307585729130587</v>
      </c>
      <c r="Q218" s="52"/>
      <c r="R218" s="52"/>
    </row>
    <row r="219" spans="1:18" x14ac:dyDescent="0.3">
      <c r="A219" s="8">
        <v>20191101</v>
      </c>
      <c r="B219" s="9">
        <v>140.56</v>
      </c>
      <c r="C219" s="9">
        <v>86.16</v>
      </c>
      <c r="D219" s="54">
        <f t="shared" si="4"/>
        <v>1.6313834726090994</v>
      </c>
      <c r="Q219" s="52"/>
      <c r="R219" s="52"/>
    </row>
    <row r="220" spans="1:18" x14ac:dyDescent="0.3">
      <c r="A220" s="8">
        <v>20191104</v>
      </c>
      <c r="B220" s="9">
        <v>138.71</v>
      </c>
      <c r="C220" s="9">
        <v>85.08</v>
      </c>
      <c r="D220" s="54">
        <f t="shared" si="4"/>
        <v>1.630347907851434</v>
      </c>
      <c r="Q220" s="52"/>
      <c r="R220" s="52"/>
    </row>
    <row r="221" spans="1:18" x14ac:dyDescent="0.3">
      <c r="A221" s="8">
        <v>20191105</v>
      </c>
      <c r="B221" s="9">
        <v>137.15</v>
      </c>
      <c r="C221" s="9">
        <v>84.18</v>
      </c>
      <c r="D221" s="54">
        <f t="shared" si="4"/>
        <v>1.6292468519838441</v>
      </c>
      <c r="Q221" s="52"/>
      <c r="R221" s="52"/>
    </row>
    <row r="222" spans="1:18" x14ac:dyDescent="0.3">
      <c r="A222" s="8">
        <v>20191106</v>
      </c>
      <c r="B222" s="9">
        <v>137.97999999999999</v>
      </c>
      <c r="C222" s="9">
        <v>84.64</v>
      </c>
      <c r="D222" s="54">
        <f t="shared" si="4"/>
        <v>1.6301984877126652</v>
      </c>
      <c r="Q222" s="52"/>
      <c r="R222" s="52"/>
    </row>
    <row r="223" spans="1:18" x14ac:dyDescent="0.3">
      <c r="A223" s="8">
        <v>20191107</v>
      </c>
      <c r="B223" s="9">
        <v>135.47999999999999</v>
      </c>
      <c r="C223" s="9">
        <v>83.19</v>
      </c>
      <c r="D223" s="54">
        <f t="shared" si="4"/>
        <v>1.6285611251352325</v>
      </c>
      <c r="Q223" s="52"/>
      <c r="R223" s="52"/>
    </row>
    <row r="224" spans="1:18" x14ac:dyDescent="0.3">
      <c r="A224" s="8">
        <v>20191108</v>
      </c>
      <c r="B224" s="9">
        <v>134.91</v>
      </c>
      <c r="C224" s="9">
        <v>82.85</v>
      </c>
      <c r="D224" s="54">
        <f t="shared" si="4"/>
        <v>1.6283645141822571</v>
      </c>
      <c r="Q224" s="52"/>
      <c r="R224" s="52"/>
    </row>
    <row r="225" spans="1:18" x14ac:dyDescent="0.3">
      <c r="A225" s="8">
        <v>20191111</v>
      </c>
      <c r="B225" s="9">
        <v>135</v>
      </c>
      <c r="C225" s="9">
        <v>82.95</v>
      </c>
      <c r="D225" s="54">
        <f t="shared" si="4"/>
        <v>1.6274864376130198</v>
      </c>
      <c r="Q225" s="52"/>
      <c r="R225" s="52"/>
    </row>
    <row r="226" spans="1:18" x14ac:dyDescent="0.3">
      <c r="A226" s="8">
        <v>20191112</v>
      </c>
      <c r="B226" s="9">
        <v>135.62</v>
      </c>
      <c r="C226" s="9">
        <v>83.21</v>
      </c>
      <c r="D226" s="54">
        <f t="shared" si="4"/>
        <v>1.6298521812282178</v>
      </c>
      <c r="Q226" s="52"/>
      <c r="R226" s="52"/>
    </row>
    <row r="227" spans="1:18" x14ac:dyDescent="0.3">
      <c r="A227" s="8">
        <v>20191113</v>
      </c>
      <c r="B227" s="9">
        <v>136.5</v>
      </c>
      <c r="C227" s="9">
        <v>83.72</v>
      </c>
      <c r="D227" s="54">
        <f t="shared" si="4"/>
        <v>1.6304347826086956</v>
      </c>
      <c r="Q227" s="52"/>
      <c r="R227" s="52"/>
    </row>
    <row r="228" spans="1:18" x14ac:dyDescent="0.3">
      <c r="A228" s="8">
        <v>20191114</v>
      </c>
      <c r="B228" s="9">
        <v>137.91</v>
      </c>
      <c r="C228" s="9">
        <v>84.56</v>
      </c>
      <c r="D228" s="54">
        <f t="shared" si="4"/>
        <v>1.6309129612109743</v>
      </c>
      <c r="Q228" s="52"/>
      <c r="R228" s="52"/>
    </row>
    <row r="229" spans="1:18" x14ac:dyDescent="0.3">
      <c r="A229" s="8">
        <v>20191115</v>
      </c>
      <c r="B229" s="9">
        <v>137.76</v>
      </c>
      <c r="C229" s="9">
        <v>84.46</v>
      </c>
      <c r="D229" s="54">
        <f t="shared" si="4"/>
        <v>1.6310679611650485</v>
      </c>
      <c r="Q229" s="52"/>
      <c r="R229" s="52"/>
    </row>
    <row r="230" spans="1:18" x14ac:dyDescent="0.3">
      <c r="A230" s="8">
        <v>20191118</v>
      </c>
      <c r="B230" s="9">
        <v>138.01</v>
      </c>
      <c r="C230" s="9">
        <v>84.66</v>
      </c>
      <c r="D230" s="54">
        <f t="shared" si="4"/>
        <v>1.6301677297424995</v>
      </c>
      <c r="Q230" s="52"/>
      <c r="R230" s="52"/>
    </row>
    <row r="231" spans="1:18" x14ac:dyDescent="0.3">
      <c r="A231" s="8">
        <v>20191119</v>
      </c>
      <c r="B231" s="9">
        <v>139.16</v>
      </c>
      <c r="C231" s="9">
        <v>85.29</v>
      </c>
      <c r="D231" s="54">
        <f t="shared" si="4"/>
        <v>1.6316098018525031</v>
      </c>
      <c r="Q231" s="52"/>
      <c r="R231" s="52"/>
    </row>
    <row r="232" spans="1:18" x14ac:dyDescent="0.3">
      <c r="A232" s="8">
        <v>20191120</v>
      </c>
      <c r="B232" s="9">
        <v>140.6</v>
      </c>
      <c r="C232" s="9">
        <v>86.18</v>
      </c>
      <c r="D232" s="54">
        <f t="shared" si="4"/>
        <v>1.6314690183337199</v>
      </c>
      <c r="Q232" s="52"/>
      <c r="R232" s="52"/>
    </row>
    <row r="233" spans="1:18" x14ac:dyDescent="0.3">
      <c r="A233" s="8">
        <v>20191121</v>
      </c>
      <c r="B233" s="9">
        <v>139.72</v>
      </c>
      <c r="C233" s="9">
        <v>85.69</v>
      </c>
      <c r="D233" s="54">
        <f t="shared" si="4"/>
        <v>1.6305286497841056</v>
      </c>
      <c r="Q233" s="52"/>
      <c r="R233" s="52"/>
    </row>
    <row r="234" spans="1:18" x14ac:dyDescent="0.3">
      <c r="A234" s="8">
        <v>20191122</v>
      </c>
      <c r="B234" s="9">
        <v>139.9</v>
      </c>
      <c r="C234" s="9">
        <v>85.8</v>
      </c>
      <c r="D234" s="54">
        <f t="shared" si="4"/>
        <v>1.6305361305361306</v>
      </c>
      <c r="Q234" s="52"/>
      <c r="R234" s="52"/>
    </row>
    <row r="235" spans="1:18" x14ac:dyDescent="0.3">
      <c r="A235" s="8">
        <v>20191125</v>
      </c>
      <c r="B235" s="9">
        <v>140.31</v>
      </c>
      <c r="C235" s="9">
        <v>86.03</v>
      </c>
      <c r="D235" s="54">
        <f t="shared" si="4"/>
        <v>1.6309426944089271</v>
      </c>
      <c r="Q235" s="52"/>
      <c r="R235" s="52"/>
    </row>
    <row r="236" spans="1:18" x14ac:dyDescent="0.3">
      <c r="A236" s="8">
        <v>20191126</v>
      </c>
      <c r="B236" s="9">
        <v>141.13</v>
      </c>
      <c r="C236" s="9">
        <v>86.52</v>
      </c>
      <c r="D236" s="54">
        <f t="shared" si="4"/>
        <v>1.6311835413777163</v>
      </c>
      <c r="Q236" s="52"/>
      <c r="R236" s="52"/>
    </row>
    <row r="237" spans="1:18" x14ac:dyDescent="0.3">
      <c r="A237" s="8">
        <v>20191127</v>
      </c>
      <c r="B237" s="9">
        <v>140.72</v>
      </c>
      <c r="C237" s="9">
        <v>86.27</v>
      </c>
      <c r="D237" s="54">
        <f t="shared" si="4"/>
        <v>1.6311579923496002</v>
      </c>
      <c r="Q237" s="52"/>
      <c r="R237" s="52"/>
    </row>
    <row r="238" spans="1:18" x14ac:dyDescent="0.3">
      <c r="A238" s="8">
        <v>20191129</v>
      </c>
      <c r="B238" s="9">
        <v>140.41999999999999</v>
      </c>
      <c r="C238" s="9">
        <v>86.11</v>
      </c>
      <c r="D238" s="54">
        <f t="shared" si="4"/>
        <v>1.6307049123214492</v>
      </c>
      <c r="Q238" s="52"/>
      <c r="R238" s="52"/>
    </row>
    <row r="239" spans="1:18" x14ac:dyDescent="0.3">
      <c r="A239" s="8">
        <v>20191202</v>
      </c>
      <c r="B239" s="9">
        <v>138.31</v>
      </c>
      <c r="C239" s="9">
        <v>84.82</v>
      </c>
      <c r="D239" s="54">
        <f t="shared" si="4"/>
        <v>1.6306295684979959</v>
      </c>
      <c r="Q239" s="52"/>
      <c r="R239" s="52"/>
    </row>
    <row r="240" spans="1:18" x14ac:dyDescent="0.3">
      <c r="A240" s="8">
        <v>20191203</v>
      </c>
      <c r="B240" s="9">
        <v>141.21</v>
      </c>
      <c r="C240" s="9">
        <v>86.5</v>
      </c>
      <c r="D240" s="54">
        <f t="shared" si="4"/>
        <v>1.632485549132948</v>
      </c>
      <c r="Q240" s="52"/>
      <c r="R240" s="52"/>
    </row>
    <row r="241" spans="1:18" x14ac:dyDescent="0.3">
      <c r="A241" s="8">
        <v>20191204</v>
      </c>
      <c r="B241" s="9">
        <v>139.80000000000001</v>
      </c>
      <c r="C241" s="9">
        <v>85.68</v>
      </c>
      <c r="D241" s="54">
        <f t="shared" si="4"/>
        <v>1.6316526610644257</v>
      </c>
      <c r="Q241" s="52"/>
      <c r="R241" s="52"/>
    </row>
    <row r="242" spans="1:18" x14ac:dyDescent="0.3">
      <c r="A242" s="8">
        <v>20191205</v>
      </c>
      <c r="B242" s="9">
        <v>139.12</v>
      </c>
      <c r="C242" s="9">
        <v>85.34</v>
      </c>
      <c r="D242" s="54">
        <f t="shared" si="4"/>
        <v>1.630185141785798</v>
      </c>
      <c r="Q242" s="52"/>
      <c r="R242" s="52"/>
    </row>
    <row r="243" spans="1:18" x14ac:dyDescent="0.3">
      <c r="A243" s="8">
        <v>20191206</v>
      </c>
      <c r="B243" s="9">
        <v>138.35</v>
      </c>
      <c r="C243" s="9">
        <v>84.79</v>
      </c>
      <c r="D243" s="54">
        <f t="shared" si="4"/>
        <v>1.63167826394622</v>
      </c>
      <c r="Q243" s="52"/>
      <c r="R243" s="52"/>
    </row>
    <row r="244" spans="1:18" x14ac:dyDescent="0.3">
      <c r="A244" s="8">
        <v>20191209</v>
      </c>
      <c r="B244" s="9">
        <v>138.65</v>
      </c>
      <c r="C244" s="9">
        <v>85.03</v>
      </c>
      <c r="D244" s="54">
        <f t="shared" si="4"/>
        <v>1.6306009643655182</v>
      </c>
      <c r="Q244" s="52"/>
      <c r="R244" s="52"/>
    </row>
    <row r="245" spans="1:18" x14ac:dyDescent="0.3">
      <c r="A245" s="8">
        <v>20191210</v>
      </c>
      <c r="B245" s="9">
        <v>138.66</v>
      </c>
      <c r="C245" s="9">
        <v>84.99</v>
      </c>
      <c r="D245" s="54">
        <f t="shared" si="4"/>
        <v>1.6314860571831982</v>
      </c>
      <c r="Q245" s="52"/>
      <c r="R245" s="52"/>
    </row>
    <row r="246" spans="1:18" x14ac:dyDescent="0.3">
      <c r="A246" s="8">
        <v>20191211</v>
      </c>
      <c r="B246" s="9">
        <v>139.75</v>
      </c>
      <c r="C246" s="9">
        <v>85.63</v>
      </c>
      <c r="D246" s="54">
        <f t="shared" si="4"/>
        <v>1.632021487796333</v>
      </c>
      <c r="Q246" s="52"/>
      <c r="R246" s="52"/>
    </row>
    <row r="247" spans="1:18" x14ac:dyDescent="0.3">
      <c r="A247" s="8">
        <v>20191212</v>
      </c>
      <c r="B247" s="9">
        <v>137.44999999999999</v>
      </c>
      <c r="C247" s="9">
        <v>84.3</v>
      </c>
      <c r="D247" s="54">
        <f t="shared" si="4"/>
        <v>1.6304863582443654</v>
      </c>
      <c r="Q247" s="52"/>
      <c r="R247" s="52"/>
    </row>
    <row r="248" spans="1:18" x14ac:dyDescent="0.3">
      <c r="A248" s="8">
        <v>20191213</v>
      </c>
      <c r="B248" s="9">
        <v>139.04</v>
      </c>
      <c r="C248" s="9">
        <v>85.24</v>
      </c>
      <c r="D248" s="54">
        <f t="shared" si="4"/>
        <v>1.6311590802440168</v>
      </c>
      <c r="Q248" s="52"/>
      <c r="R248" s="52"/>
    </row>
    <row r="249" spans="1:18" x14ac:dyDescent="0.3">
      <c r="A249" s="8">
        <v>20191216</v>
      </c>
      <c r="B249" s="9">
        <v>137.79</v>
      </c>
      <c r="C249" s="9">
        <v>84.51</v>
      </c>
      <c r="D249" s="54">
        <f t="shared" si="4"/>
        <v>1.6304579339723109</v>
      </c>
      <c r="Q249" s="52"/>
      <c r="R249" s="52"/>
    </row>
    <row r="250" spans="1:18" x14ac:dyDescent="0.3">
      <c r="A250" s="8">
        <v>20191217</v>
      </c>
      <c r="B250" s="9">
        <v>137.6</v>
      </c>
      <c r="C250" s="9">
        <v>84.38</v>
      </c>
      <c r="D250" s="54">
        <f t="shared" si="4"/>
        <v>1.6307181796634274</v>
      </c>
      <c r="Q250" s="52"/>
      <c r="R250" s="52"/>
    </row>
    <row r="251" spans="1:18" x14ac:dyDescent="0.3">
      <c r="A251" s="8">
        <v>20191218</v>
      </c>
      <c r="B251" s="9">
        <v>136.47</v>
      </c>
      <c r="C251" s="9">
        <v>83.73</v>
      </c>
      <c r="D251" s="54">
        <f t="shared" si="4"/>
        <v>1.629881762809029</v>
      </c>
      <c r="Q251" s="52"/>
      <c r="R251" s="52"/>
    </row>
    <row r="252" spans="1:18" x14ac:dyDescent="0.3">
      <c r="A252" s="8">
        <v>20191219</v>
      </c>
      <c r="B252" s="9">
        <v>136.47</v>
      </c>
      <c r="C252" s="9">
        <v>83.8</v>
      </c>
      <c r="D252" s="54">
        <f t="shared" si="4"/>
        <v>1.6285202863961814</v>
      </c>
      <c r="Q252" s="52"/>
      <c r="R252" s="52"/>
    </row>
    <row r="253" spans="1:18" x14ac:dyDescent="0.3">
      <c r="A253" s="8">
        <v>20191220</v>
      </c>
      <c r="B253" s="9">
        <v>136.65</v>
      </c>
      <c r="C253" s="9">
        <v>83.94</v>
      </c>
      <c r="D253" s="54">
        <f t="shared" si="4"/>
        <v>1.6279485346676199</v>
      </c>
      <c r="Q253" s="52"/>
      <c r="R253" s="52"/>
    </row>
    <row r="254" spans="1:18" x14ac:dyDescent="0.3">
      <c r="A254" s="8">
        <v>20191223</v>
      </c>
      <c r="B254" s="9">
        <v>136.44999999999999</v>
      </c>
      <c r="C254" s="9">
        <v>83.59</v>
      </c>
      <c r="D254" s="54">
        <f t="shared" si="4"/>
        <v>1.6323722933365232</v>
      </c>
      <c r="Q254" s="52"/>
      <c r="R254" s="52"/>
    </row>
    <row r="255" spans="1:18" x14ac:dyDescent="0.3">
      <c r="A255" s="8">
        <v>20191224</v>
      </c>
      <c r="B255" s="9">
        <v>136.84</v>
      </c>
      <c r="C255" s="9">
        <v>83.91</v>
      </c>
      <c r="D255" s="54">
        <f t="shared" si="4"/>
        <v>1.6307948992968657</v>
      </c>
      <c r="Q255" s="52"/>
      <c r="R255" s="52"/>
    </row>
    <row r="256" spans="1:18" x14ac:dyDescent="0.3">
      <c r="A256" s="8">
        <v>20191226</v>
      </c>
      <c r="B256" s="9">
        <v>137.16999999999999</v>
      </c>
      <c r="C256" s="9">
        <v>84.06</v>
      </c>
      <c r="D256" s="54">
        <f t="shared" si="4"/>
        <v>1.6318106114679989</v>
      </c>
      <c r="Q256" s="52"/>
      <c r="R256" s="52"/>
    </row>
    <row r="257" spans="1:18" x14ac:dyDescent="0.3">
      <c r="A257" s="8">
        <v>20191227</v>
      </c>
      <c r="B257" s="9">
        <v>137.32</v>
      </c>
      <c r="C257" s="9">
        <v>84.18</v>
      </c>
      <c r="D257" s="54">
        <f t="shared" si="4"/>
        <v>1.6312663340460916</v>
      </c>
      <c r="Q257" s="52"/>
      <c r="R257" s="52"/>
    </row>
    <row r="258" spans="1:18" x14ac:dyDescent="0.3">
      <c r="A258" s="8">
        <v>20191230</v>
      </c>
      <c r="B258" s="9">
        <v>136.82</v>
      </c>
      <c r="C258" s="9">
        <v>83.92</v>
      </c>
      <c r="D258" s="54">
        <f t="shared" si="4"/>
        <v>1.6303622497616777</v>
      </c>
      <c r="Q258" s="52"/>
      <c r="R258" s="52"/>
    </row>
    <row r="259" spans="1:18" ht="15" thickBot="1" x14ac:dyDescent="0.35">
      <c r="A259" s="11">
        <v>20191231</v>
      </c>
      <c r="B259" s="12">
        <v>135.47999999999999</v>
      </c>
      <c r="C259" s="12">
        <v>83.27</v>
      </c>
      <c r="D259" s="55">
        <f t="shared" si="4"/>
        <v>1.6269965173531884</v>
      </c>
      <c r="Q259" s="52"/>
      <c r="R259" s="52"/>
    </row>
  </sheetData>
  <mergeCells count="7">
    <mergeCell ref="C1:E1"/>
    <mergeCell ref="C2:E2"/>
    <mergeCell ref="C3:E3"/>
    <mergeCell ref="C4:E4"/>
    <mergeCell ref="A1:A2"/>
    <mergeCell ref="A3:A4"/>
    <mergeCell ref="A6:D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D695-E82F-4934-AF52-03B2E3CAFC3C}">
  <dimension ref="A1:R259"/>
  <sheetViews>
    <sheetView workbookViewId="0">
      <selection activeCell="H7" sqref="H7"/>
    </sheetView>
  </sheetViews>
  <sheetFormatPr defaultRowHeight="14.4" x14ac:dyDescent="0.3"/>
  <cols>
    <col min="2" max="2" width="12.44140625" bestFit="1" customWidth="1"/>
    <col min="4" max="4" width="17.5546875" bestFit="1" customWidth="1"/>
    <col min="5" max="5" width="17.109375" customWidth="1"/>
    <col min="6" max="6" width="9.77734375" customWidth="1"/>
    <col min="8" max="8" width="13.5546875" customWidth="1"/>
    <col min="9" max="9" width="7.6640625" style="1" bestFit="1" customWidth="1"/>
    <col min="10" max="10" width="18.88671875" style="1" bestFit="1" customWidth="1"/>
    <col min="11" max="11" width="8.6640625" style="1" bestFit="1" customWidth="1"/>
    <col min="12" max="12" width="12.44140625" style="1" bestFit="1" customWidth="1"/>
    <col min="13" max="13" width="12.33203125" bestFit="1" customWidth="1"/>
    <col min="14" max="14" width="12.44140625" bestFit="1" customWidth="1"/>
    <col min="15" max="15" width="14.6640625" bestFit="1" customWidth="1"/>
    <col min="17" max="18" width="7.21875" bestFit="1" customWidth="1"/>
    <col min="19" max="19" width="15.109375" bestFit="1" customWidth="1"/>
    <col min="20" max="20" width="8.109375" bestFit="1" customWidth="1"/>
  </cols>
  <sheetData>
    <row r="1" spans="1:18" x14ac:dyDescent="0.3">
      <c r="A1" s="48" t="s">
        <v>6</v>
      </c>
      <c r="B1" s="3" t="s">
        <v>26</v>
      </c>
      <c r="C1" s="44" t="s">
        <v>42</v>
      </c>
      <c r="D1" s="44"/>
      <c r="E1" s="45"/>
      <c r="F1" s="53"/>
      <c r="H1" s="2" t="s">
        <v>37</v>
      </c>
      <c r="I1" s="18"/>
      <c r="J1" s="18"/>
      <c r="K1" s="18"/>
      <c r="L1" s="18"/>
      <c r="M1" s="3"/>
      <c r="N1" s="3"/>
      <c r="O1" s="4"/>
    </row>
    <row r="2" spans="1:18" ht="15" thickBot="1" x14ac:dyDescent="0.35">
      <c r="A2" s="49"/>
      <c r="B2" s="13" t="s">
        <v>27</v>
      </c>
      <c r="C2" s="50" t="s">
        <v>43</v>
      </c>
      <c r="D2" s="50"/>
      <c r="E2" s="51"/>
      <c r="F2" s="53"/>
      <c r="H2" s="8" t="s">
        <v>44</v>
      </c>
      <c r="I2" s="9"/>
      <c r="J2" s="9"/>
      <c r="K2" s="9"/>
      <c r="L2" s="9"/>
      <c r="O2" s="14"/>
    </row>
    <row r="3" spans="1:18" x14ac:dyDescent="0.3">
      <c r="A3" s="48" t="s">
        <v>8</v>
      </c>
      <c r="B3" s="3" t="s">
        <v>26</v>
      </c>
      <c r="C3" s="44" t="s">
        <v>40</v>
      </c>
      <c r="D3" s="44"/>
      <c r="E3" s="45"/>
      <c r="F3" s="53"/>
      <c r="H3" s="8" t="s">
        <v>39</v>
      </c>
      <c r="I3" s="9"/>
      <c r="J3" s="9"/>
      <c r="K3" s="9"/>
      <c r="L3" s="9"/>
      <c r="O3" s="14"/>
    </row>
    <row r="4" spans="1:18" ht="15" thickBot="1" x14ac:dyDescent="0.35">
      <c r="A4" s="49"/>
      <c r="B4" s="13" t="s">
        <v>27</v>
      </c>
      <c r="C4" s="50" t="s">
        <v>41</v>
      </c>
      <c r="D4" s="50"/>
      <c r="E4" s="51"/>
      <c r="F4" s="53"/>
      <c r="H4" s="8" t="s">
        <v>47</v>
      </c>
      <c r="I4" s="9"/>
      <c r="J4" s="9"/>
      <c r="K4" s="9"/>
      <c r="L4" s="9"/>
      <c r="O4" s="14"/>
    </row>
    <row r="5" spans="1:18" ht="15" thickBot="1" x14ac:dyDescent="0.35">
      <c r="H5" s="8" t="s">
        <v>79</v>
      </c>
      <c r="I5" s="9"/>
      <c r="J5" s="9"/>
      <c r="K5" s="56">
        <f>F11</f>
        <v>3.3673566008636375</v>
      </c>
      <c r="L5" s="57" t="s">
        <v>75</v>
      </c>
      <c r="M5" s="52">
        <f>L14</f>
        <v>30.965</v>
      </c>
      <c r="N5" s="25" t="s">
        <v>76</v>
      </c>
      <c r="O5" s="10">
        <f>K5*M5</f>
        <v>104.27019714574253</v>
      </c>
    </row>
    <row r="6" spans="1:18" x14ac:dyDescent="0.3">
      <c r="A6" s="41" t="s">
        <v>28</v>
      </c>
      <c r="B6" s="42"/>
      <c r="C6" s="42"/>
      <c r="D6" s="43"/>
      <c r="E6" s="16" t="s">
        <v>29</v>
      </c>
      <c r="F6" s="4"/>
      <c r="H6" s="8" t="s">
        <v>80</v>
      </c>
      <c r="I6" s="9"/>
      <c r="J6" s="9"/>
      <c r="K6" s="9">
        <f>-(L15-O5)</f>
        <v>0.55019714574252987</v>
      </c>
      <c r="L6" s="9"/>
      <c r="O6" s="14"/>
    </row>
    <row r="7" spans="1:18" x14ac:dyDescent="0.3">
      <c r="A7" s="5" t="s">
        <v>21</v>
      </c>
      <c r="B7" s="6" t="s">
        <v>8</v>
      </c>
      <c r="C7" s="6" t="s">
        <v>6</v>
      </c>
      <c r="D7" s="7" t="s">
        <v>71</v>
      </c>
      <c r="E7" s="30" t="s">
        <v>30</v>
      </c>
      <c r="F7" s="29">
        <f>CORREL(C8:C259,B8:B259)</f>
        <v>0.99974452865748054</v>
      </c>
      <c r="H7" s="8" t="s">
        <v>78</v>
      </c>
      <c r="I7" s="9"/>
      <c r="J7" s="9"/>
      <c r="K7" s="9">
        <f>K6</f>
        <v>0.55019714574252987</v>
      </c>
      <c r="L7" s="57" t="s">
        <v>75</v>
      </c>
      <c r="M7">
        <f>K15</f>
        <v>145</v>
      </c>
      <c r="N7" s="25" t="s">
        <v>76</v>
      </c>
      <c r="O7" s="10">
        <f>K7*M7</f>
        <v>79.778586132666831</v>
      </c>
    </row>
    <row r="8" spans="1:18" x14ac:dyDescent="0.3">
      <c r="A8" s="8">
        <v>20190102</v>
      </c>
      <c r="B8" s="9">
        <v>85.58</v>
      </c>
      <c r="C8" s="9">
        <v>25.48</v>
      </c>
      <c r="D8" s="54">
        <f>B8/C8</f>
        <v>3.3587127158555727</v>
      </c>
      <c r="E8" s="8"/>
      <c r="F8" s="14"/>
      <c r="H8" s="8" t="s">
        <v>81</v>
      </c>
      <c r="I8" s="9"/>
      <c r="J8" s="9"/>
      <c r="K8" s="9"/>
      <c r="L8" s="9"/>
      <c r="M8" s="58">
        <f>O19/O7</f>
        <v>0.75722579029593573</v>
      </c>
      <c r="N8" t="s">
        <v>82</v>
      </c>
      <c r="O8" s="14"/>
    </row>
    <row r="9" spans="1:18" x14ac:dyDescent="0.3">
      <c r="A9" s="8">
        <v>20190103</v>
      </c>
      <c r="B9" s="9">
        <v>85.58</v>
      </c>
      <c r="C9" s="9">
        <v>25.44</v>
      </c>
      <c r="D9" s="54">
        <f t="shared" ref="D9:D72" si="0">B9/C9</f>
        <v>3.3639937106918238</v>
      </c>
      <c r="E9" s="8" t="s">
        <v>67</v>
      </c>
      <c r="F9" s="54">
        <f>MAX(D8:D259)</f>
        <v>3.3800417246175241</v>
      </c>
      <c r="H9" s="8" t="s">
        <v>51</v>
      </c>
      <c r="I9" s="9"/>
      <c r="J9" s="9"/>
      <c r="K9" s="9"/>
      <c r="L9" s="9"/>
      <c r="O9" s="14"/>
    </row>
    <row r="10" spans="1:18" ht="15" thickBot="1" x14ac:dyDescent="0.35">
      <c r="A10" s="8">
        <v>20190104</v>
      </c>
      <c r="B10" s="9">
        <v>85.37</v>
      </c>
      <c r="C10" s="9">
        <v>25.43</v>
      </c>
      <c r="D10" s="54">
        <f t="shared" si="0"/>
        <v>3.3570585922139209</v>
      </c>
      <c r="E10" s="8" t="s">
        <v>68</v>
      </c>
      <c r="F10" s="54">
        <f>MIN(D8:D259)</f>
        <v>3.3521347434390911</v>
      </c>
      <c r="H10" s="11" t="s">
        <v>46</v>
      </c>
      <c r="I10" s="12"/>
      <c r="J10" s="12"/>
      <c r="K10" s="12"/>
      <c r="L10" s="12"/>
      <c r="M10" s="13"/>
      <c r="N10" s="13"/>
      <c r="O10" s="33"/>
    </row>
    <row r="11" spans="1:18" ht="15" thickBot="1" x14ac:dyDescent="0.35">
      <c r="A11" s="8">
        <v>20190107</v>
      </c>
      <c r="B11" s="9">
        <v>85.55</v>
      </c>
      <c r="C11" s="9">
        <v>25.47</v>
      </c>
      <c r="D11" s="54">
        <f t="shared" si="0"/>
        <v>3.3588535531998431</v>
      </c>
      <c r="E11" s="8" t="s">
        <v>69</v>
      </c>
      <c r="F11" s="54">
        <f>AVERAGE(D8:D259)</f>
        <v>3.3673566008636375</v>
      </c>
    </row>
    <row r="12" spans="1:18" x14ac:dyDescent="0.3">
      <c r="A12" s="8">
        <v>20190108</v>
      </c>
      <c r="B12" s="9">
        <v>85.99</v>
      </c>
      <c r="C12" s="9">
        <v>25.54</v>
      </c>
      <c r="D12" s="54">
        <f t="shared" si="0"/>
        <v>3.3668754894283475</v>
      </c>
      <c r="E12" s="8"/>
      <c r="F12" s="14"/>
      <c r="H12" s="2" t="s">
        <v>31</v>
      </c>
      <c r="I12" s="3"/>
      <c r="J12" s="3"/>
      <c r="K12" s="3"/>
      <c r="L12" s="18"/>
      <c r="M12" s="18"/>
      <c r="N12" s="18"/>
      <c r="O12" s="19"/>
      <c r="Q12" s="52"/>
      <c r="R12" s="52"/>
    </row>
    <row r="13" spans="1:18" ht="15" thickBot="1" x14ac:dyDescent="0.35">
      <c r="A13" s="8">
        <v>20190109</v>
      </c>
      <c r="B13" s="9">
        <v>86.4</v>
      </c>
      <c r="C13" s="9">
        <v>25.75</v>
      </c>
      <c r="D13" s="54">
        <f t="shared" si="0"/>
        <v>3.3553398058252428</v>
      </c>
      <c r="E13" s="11" t="s">
        <v>73</v>
      </c>
      <c r="F13" s="55">
        <f>-K14/K15</f>
        <v>3.3655172413793104</v>
      </c>
      <c r="H13" s="20" t="s">
        <v>34</v>
      </c>
      <c r="I13" s="21" t="s">
        <v>0</v>
      </c>
      <c r="J13" s="21" t="s">
        <v>1</v>
      </c>
      <c r="K13" s="21" t="s">
        <v>2</v>
      </c>
      <c r="L13" s="22" t="s">
        <v>35</v>
      </c>
      <c r="M13" s="22" t="s">
        <v>3</v>
      </c>
      <c r="N13" s="22" t="s">
        <v>4</v>
      </c>
      <c r="O13" s="23" t="s">
        <v>36</v>
      </c>
      <c r="Q13" s="52"/>
      <c r="R13" s="52"/>
    </row>
    <row r="14" spans="1:18" x14ac:dyDescent="0.3">
      <c r="A14" s="8">
        <v>20190110</v>
      </c>
      <c r="B14" s="9">
        <v>85.81</v>
      </c>
      <c r="C14" s="9">
        <v>25.52</v>
      </c>
      <c r="D14" s="54">
        <f t="shared" si="0"/>
        <v>3.3624608150470219</v>
      </c>
      <c r="H14" s="24" t="s">
        <v>32</v>
      </c>
      <c r="I14" s="25" t="s">
        <v>6</v>
      </c>
      <c r="J14" t="s">
        <v>7</v>
      </c>
      <c r="K14">
        <v>-488</v>
      </c>
      <c r="L14" s="32">
        <v>30.965</v>
      </c>
      <c r="M14" s="9">
        <f>-K14*L14</f>
        <v>15110.92</v>
      </c>
      <c r="N14" s="9">
        <v>-2.8320233319999999</v>
      </c>
      <c r="O14" s="26">
        <f>+M14+N14</f>
        <v>15108.087976668001</v>
      </c>
      <c r="Q14" s="52"/>
      <c r="R14" s="52"/>
    </row>
    <row r="15" spans="1:18" x14ac:dyDescent="0.3">
      <c r="A15" s="8">
        <v>20190111</v>
      </c>
      <c r="B15" s="9">
        <v>86</v>
      </c>
      <c r="C15" s="9">
        <v>25.6</v>
      </c>
      <c r="D15" s="54">
        <f t="shared" si="0"/>
        <v>3.359375</v>
      </c>
      <c r="H15" s="24" t="s">
        <v>32</v>
      </c>
      <c r="I15" s="25" t="s">
        <v>8</v>
      </c>
      <c r="J15" t="s">
        <v>7</v>
      </c>
      <c r="K15">
        <v>145</v>
      </c>
      <c r="L15" s="31">
        <v>103.72</v>
      </c>
      <c r="M15" s="9">
        <f t="shared" ref="M15:M18" si="1">-K15*L15</f>
        <v>-15039.4</v>
      </c>
      <c r="N15" s="9">
        <v>-1</v>
      </c>
      <c r="O15" s="26">
        <f t="shared" ref="O15:O18" si="2">+M15+N15</f>
        <v>-15040.4</v>
      </c>
      <c r="Q15" s="52"/>
      <c r="R15" s="52"/>
    </row>
    <row r="16" spans="1:18" x14ac:dyDescent="0.3">
      <c r="A16" s="8">
        <v>20190114</v>
      </c>
      <c r="B16" s="9">
        <v>85.55</v>
      </c>
      <c r="C16" s="9">
        <v>25.49</v>
      </c>
      <c r="D16" s="54">
        <f t="shared" si="0"/>
        <v>3.3562181247548057</v>
      </c>
      <c r="H16" s="24" t="s">
        <v>33</v>
      </c>
      <c r="I16" s="25" t="s">
        <v>6</v>
      </c>
      <c r="J16" s="35" t="s">
        <v>10</v>
      </c>
      <c r="K16">
        <v>486</v>
      </c>
      <c r="L16" s="9">
        <v>30.56</v>
      </c>
      <c r="M16" s="9">
        <f t="shared" si="1"/>
        <v>-14852.16</v>
      </c>
      <c r="N16" s="9">
        <v>-2.4300000000000002</v>
      </c>
      <c r="O16" s="26">
        <f t="shared" si="2"/>
        <v>-14854.59</v>
      </c>
      <c r="Q16" s="52"/>
      <c r="R16" s="52"/>
    </row>
    <row r="17" spans="1:18" x14ac:dyDescent="0.3">
      <c r="A17" s="8">
        <v>20190115</v>
      </c>
      <c r="B17" s="9">
        <v>85.49</v>
      </c>
      <c r="C17" s="9">
        <v>25.47</v>
      </c>
      <c r="D17" s="54">
        <f t="shared" si="0"/>
        <v>3.3564978405967807</v>
      </c>
      <c r="H17" s="24" t="s">
        <v>33</v>
      </c>
      <c r="I17" s="25" t="s">
        <v>6</v>
      </c>
      <c r="J17" s="35" t="s">
        <v>11</v>
      </c>
      <c r="K17">
        <v>2</v>
      </c>
      <c r="L17" s="9">
        <v>30.54</v>
      </c>
      <c r="M17" s="9">
        <f t="shared" si="1"/>
        <v>-61.08</v>
      </c>
      <c r="N17" s="9">
        <v>-0.61080000000000001</v>
      </c>
      <c r="O17" s="26">
        <f t="shared" si="2"/>
        <v>-61.690799999999996</v>
      </c>
      <c r="Q17" s="52"/>
      <c r="R17" s="52"/>
    </row>
    <row r="18" spans="1:18" ht="16.8" thickBot="1" x14ac:dyDescent="0.5">
      <c r="A18" s="8">
        <v>20190116</v>
      </c>
      <c r="B18" s="9">
        <v>85.58</v>
      </c>
      <c r="C18" s="9">
        <v>25.53</v>
      </c>
      <c r="D18" s="54">
        <f t="shared" si="0"/>
        <v>3.3521347434390911</v>
      </c>
      <c r="H18" s="24" t="s">
        <v>33</v>
      </c>
      <c r="I18" s="25" t="s">
        <v>8</v>
      </c>
      <c r="J18" s="36" t="s">
        <v>11</v>
      </c>
      <c r="K18" s="17">
        <v>-145</v>
      </c>
      <c r="L18" s="9">
        <v>102.83</v>
      </c>
      <c r="M18" s="9">
        <f t="shared" si="1"/>
        <v>14910.35</v>
      </c>
      <c r="N18" s="9">
        <v>-1.346773735</v>
      </c>
      <c r="O18" s="27">
        <f t="shared" si="2"/>
        <v>14909.003226265</v>
      </c>
      <c r="Q18" s="52"/>
      <c r="R18" s="52"/>
    </row>
    <row r="19" spans="1:18" ht="15" thickBot="1" x14ac:dyDescent="0.35">
      <c r="A19" s="8">
        <v>20190117</v>
      </c>
      <c r="B19" s="9">
        <v>85.82</v>
      </c>
      <c r="C19" s="9">
        <v>25.58</v>
      </c>
      <c r="D19" s="54">
        <f t="shared" si="0"/>
        <v>3.3549648162627053</v>
      </c>
      <c r="H19" s="11"/>
      <c r="I19" s="13"/>
      <c r="J19" s="34" t="s">
        <v>45</v>
      </c>
      <c r="K19" s="13">
        <f>SUM(K14:K18)</f>
        <v>0</v>
      </c>
      <c r="L19" s="12"/>
      <c r="M19" s="12"/>
      <c r="N19" s="12"/>
      <c r="O19" s="37">
        <f>SUM(O14:O18)</f>
        <v>60.410402933001023</v>
      </c>
      <c r="Q19" s="52"/>
      <c r="R19" s="52"/>
    </row>
    <row r="20" spans="1:18" x14ac:dyDescent="0.3">
      <c r="A20" s="8">
        <v>20190118</v>
      </c>
      <c r="B20" s="9">
        <v>85.99</v>
      </c>
      <c r="C20" s="9">
        <v>25.62</v>
      </c>
      <c r="D20" s="54">
        <f t="shared" si="0"/>
        <v>3.3563622170179546</v>
      </c>
      <c r="Q20" s="52"/>
      <c r="R20" s="52"/>
    </row>
    <row r="21" spans="1:18" x14ac:dyDescent="0.3">
      <c r="A21" s="8">
        <v>20190122</v>
      </c>
      <c r="B21" s="9">
        <v>86.12</v>
      </c>
      <c r="C21" s="9">
        <v>25.63</v>
      </c>
      <c r="D21" s="54">
        <f t="shared" si="0"/>
        <v>3.3601248536870858</v>
      </c>
      <c r="E21" s="15"/>
      <c r="F21" s="15"/>
      <c r="Q21" s="52"/>
      <c r="R21" s="52"/>
    </row>
    <row r="22" spans="1:18" x14ac:dyDescent="0.3">
      <c r="A22" s="8">
        <v>20190123</v>
      </c>
      <c r="B22" s="9">
        <v>86.53</v>
      </c>
      <c r="C22" s="9">
        <v>25.74</v>
      </c>
      <c r="D22" s="54">
        <f t="shared" si="0"/>
        <v>3.3616938616938619</v>
      </c>
      <c r="E22" s="15"/>
      <c r="F22" s="15"/>
      <c r="Q22" s="52"/>
      <c r="R22" s="52"/>
    </row>
    <row r="23" spans="1:18" x14ac:dyDescent="0.3">
      <c r="A23" s="8">
        <v>20190124</v>
      </c>
      <c r="B23" s="9">
        <v>86.88</v>
      </c>
      <c r="C23" s="9">
        <v>25.85</v>
      </c>
      <c r="D23" s="54">
        <f t="shared" si="0"/>
        <v>3.3609284332688585</v>
      </c>
      <c r="E23" s="15"/>
      <c r="F23" s="15"/>
      <c r="Q23" s="52"/>
      <c r="R23" s="52"/>
    </row>
    <row r="24" spans="1:18" x14ac:dyDescent="0.3">
      <c r="A24" s="8">
        <v>20190125</v>
      </c>
      <c r="B24" s="9">
        <v>86.9</v>
      </c>
      <c r="C24" s="9">
        <v>25.8</v>
      </c>
      <c r="D24" s="54">
        <f t="shared" si="0"/>
        <v>3.3682170542635661</v>
      </c>
      <c r="E24" s="15"/>
      <c r="F24" s="15"/>
      <c r="Q24" s="52"/>
      <c r="R24" s="52"/>
    </row>
    <row r="25" spans="1:18" x14ac:dyDescent="0.3">
      <c r="A25" s="8">
        <v>20190128</v>
      </c>
      <c r="B25" s="9">
        <v>86.87</v>
      </c>
      <c r="C25" s="9">
        <v>25.83</v>
      </c>
      <c r="D25" s="54">
        <f t="shared" si="0"/>
        <v>3.3631436314363148</v>
      </c>
      <c r="E25" s="15"/>
      <c r="F25" s="15"/>
      <c r="Q25" s="52"/>
      <c r="R25" s="52"/>
    </row>
    <row r="26" spans="1:18" x14ac:dyDescent="0.3">
      <c r="A26" s="8">
        <v>20190129</v>
      </c>
      <c r="B26" s="9">
        <v>87.07</v>
      </c>
      <c r="C26" s="9">
        <v>25.91</v>
      </c>
      <c r="D26" s="54">
        <f t="shared" si="0"/>
        <v>3.3604785796989578</v>
      </c>
      <c r="E26" s="15"/>
      <c r="F26" s="15"/>
      <c r="Q26" s="52"/>
      <c r="R26" s="52"/>
    </row>
    <row r="27" spans="1:18" x14ac:dyDescent="0.3">
      <c r="A27" s="8">
        <v>20190130</v>
      </c>
      <c r="B27" s="9">
        <v>87.59</v>
      </c>
      <c r="C27" s="9">
        <v>26.01</v>
      </c>
      <c r="D27" s="54">
        <f t="shared" si="0"/>
        <v>3.3675509419454057</v>
      </c>
      <c r="E27" s="15"/>
      <c r="F27" s="15"/>
      <c r="Q27" s="52"/>
      <c r="R27" s="52"/>
    </row>
    <row r="28" spans="1:18" x14ac:dyDescent="0.3">
      <c r="A28" s="8">
        <v>20190131</v>
      </c>
      <c r="B28" s="9">
        <v>88.61</v>
      </c>
      <c r="C28" s="9">
        <v>26.35</v>
      </c>
      <c r="D28" s="54">
        <f t="shared" si="0"/>
        <v>3.36280834914611</v>
      </c>
      <c r="E28" s="15"/>
      <c r="F28" s="15"/>
      <c r="Q28" s="52"/>
      <c r="R28" s="52"/>
    </row>
    <row r="29" spans="1:18" x14ac:dyDescent="0.3">
      <c r="A29" s="8">
        <v>20190201</v>
      </c>
      <c r="B29" s="9">
        <v>88.06</v>
      </c>
      <c r="C29" s="9">
        <v>26.14</v>
      </c>
      <c r="D29" s="54">
        <f t="shared" si="0"/>
        <v>3.3687834736036724</v>
      </c>
      <c r="Q29" s="52"/>
      <c r="R29" s="52"/>
    </row>
    <row r="30" spans="1:18" x14ac:dyDescent="0.3">
      <c r="A30" s="8">
        <v>20190204</v>
      </c>
      <c r="B30" s="9">
        <v>87.85</v>
      </c>
      <c r="C30" s="9">
        <v>26.09</v>
      </c>
      <c r="D30" s="54">
        <f t="shared" si="0"/>
        <v>3.367190494442315</v>
      </c>
      <c r="Q30" s="52"/>
      <c r="R30" s="52"/>
    </row>
    <row r="31" spans="1:18" x14ac:dyDescent="0.3">
      <c r="A31" s="8">
        <v>20190205</v>
      </c>
      <c r="B31" s="9">
        <v>88.33</v>
      </c>
      <c r="C31" s="9">
        <v>26.26</v>
      </c>
      <c r="D31" s="54">
        <f t="shared" si="0"/>
        <v>3.3636709824828634</v>
      </c>
      <c r="Q31" s="52"/>
      <c r="R31" s="52"/>
    </row>
    <row r="32" spans="1:18" x14ac:dyDescent="0.3">
      <c r="A32" s="8">
        <v>20190206</v>
      </c>
      <c r="B32" s="9">
        <v>88.15</v>
      </c>
      <c r="C32" s="9">
        <v>26.19</v>
      </c>
      <c r="D32" s="54">
        <f t="shared" si="0"/>
        <v>3.3657884688812523</v>
      </c>
      <c r="Q32" s="52"/>
      <c r="R32" s="52"/>
    </row>
    <row r="33" spans="1:18" x14ac:dyDescent="0.3">
      <c r="A33" s="8">
        <v>20190207</v>
      </c>
      <c r="B33" s="9">
        <v>88.04</v>
      </c>
      <c r="C33" s="9">
        <v>26.15</v>
      </c>
      <c r="D33" s="54">
        <f t="shared" si="0"/>
        <v>3.3667304015296371</v>
      </c>
      <c r="Q33" s="52"/>
      <c r="R33" s="52"/>
    </row>
    <row r="34" spans="1:18" x14ac:dyDescent="0.3">
      <c r="A34" s="8">
        <v>20190208</v>
      </c>
      <c r="B34" s="9">
        <v>88.53</v>
      </c>
      <c r="C34" s="9">
        <v>26.27</v>
      </c>
      <c r="D34" s="54">
        <f t="shared" si="0"/>
        <v>3.3700038066235249</v>
      </c>
      <c r="Q34" s="52"/>
      <c r="R34" s="52"/>
    </row>
    <row r="35" spans="1:18" x14ac:dyDescent="0.3">
      <c r="A35" s="8">
        <v>20190211</v>
      </c>
      <c r="B35" s="9">
        <v>88.31</v>
      </c>
      <c r="C35" s="9">
        <v>26.23</v>
      </c>
      <c r="D35" s="54">
        <f t="shared" si="0"/>
        <v>3.3667556233320624</v>
      </c>
      <c r="Q35" s="52"/>
      <c r="R35" s="52"/>
    </row>
    <row r="36" spans="1:18" x14ac:dyDescent="0.3">
      <c r="A36" s="8">
        <v>20190212</v>
      </c>
      <c r="B36" s="9">
        <v>88.28</v>
      </c>
      <c r="C36" s="9">
        <v>26.22</v>
      </c>
      <c r="D36" s="54">
        <f t="shared" si="0"/>
        <v>3.3668954996186118</v>
      </c>
      <c r="Q36" s="52"/>
      <c r="R36" s="52"/>
    </row>
    <row r="37" spans="1:18" x14ac:dyDescent="0.3">
      <c r="A37" s="8">
        <v>20190213</v>
      </c>
      <c r="B37" s="9">
        <v>88.1</v>
      </c>
      <c r="C37" s="9">
        <v>26.16</v>
      </c>
      <c r="D37" s="54">
        <f t="shared" si="0"/>
        <v>3.3677370030581035</v>
      </c>
      <c r="Q37" s="52"/>
      <c r="R37" s="52"/>
    </row>
    <row r="38" spans="1:18" x14ac:dyDescent="0.3">
      <c r="A38" s="8">
        <v>20190214</v>
      </c>
      <c r="B38" s="9">
        <v>88.12</v>
      </c>
      <c r="C38" s="9">
        <v>26.17</v>
      </c>
      <c r="D38" s="54">
        <f t="shared" si="0"/>
        <v>3.3672143675964845</v>
      </c>
      <c r="Q38" s="52"/>
      <c r="R38" s="52"/>
    </row>
    <row r="39" spans="1:18" x14ac:dyDescent="0.3">
      <c r="A39" s="8">
        <v>20190215</v>
      </c>
      <c r="B39" s="9">
        <v>88.46</v>
      </c>
      <c r="C39" s="9">
        <v>26.28</v>
      </c>
      <c r="D39" s="54">
        <f t="shared" si="0"/>
        <v>3.3660578386605779</v>
      </c>
      <c r="Q39" s="52"/>
      <c r="R39" s="52"/>
    </row>
    <row r="40" spans="1:18" x14ac:dyDescent="0.3">
      <c r="A40" s="8">
        <v>20190219</v>
      </c>
      <c r="B40" s="9">
        <v>88.49</v>
      </c>
      <c r="C40" s="9">
        <v>26.32</v>
      </c>
      <c r="D40" s="54">
        <f t="shared" si="0"/>
        <v>3.3620820668693008</v>
      </c>
      <c r="Q40" s="52"/>
      <c r="R40" s="52"/>
    </row>
    <row r="41" spans="1:18" x14ac:dyDescent="0.3">
      <c r="A41" s="8">
        <v>20190220</v>
      </c>
      <c r="B41" s="9">
        <v>88.32</v>
      </c>
      <c r="C41" s="9">
        <v>26.25</v>
      </c>
      <c r="D41" s="54">
        <f t="shared" si="0"/>
        <v>3.3645714285714283</v>
      </c>
      <c r="Q41" s="52"/>
      <c r="R41" s="52"/>
    </row>
    <row r="42" spans="1:18" x14ac:dyDescent="0.3">
      <c r="A42" s="8">
        <v>20190221</v>
      </c>
      <c r="B42" s="9">
        <v>87.86</v>
      </c>
      <c r="C42" s="9">
        <v>26.13</v>
      </c>
      <c r="D42" s="54">
        <f t="shared" si="0"/>
        <v>3.362418675851512</v>
      </c>
      <c r="Q42" s="52"/>
      <c r="R42" s="52"/>
    </row>
    <row r="43" spans="1:18" x14ac:dyDescent="0.3">
      <c r="A43" s="8">
        <v>20190222</v>
      </c>
      <c r="B43" s="9">
        <v>88.3</v>
      </c>
      <c r="C43" s="9">
        <v>26.25</v>
      </c>
      <c r="D43" s="54">
        <f t="shared" si="0"/>
        <v>3.3638095238095236</v>
      </c>
      <c r="Q43" s="52"/>
      <c r="R43" s="52"/>
    </row>
    <row r="44" spans="1:18" x14ac:dyDescent="0.3">
      <c r="A44" s="8">
        <v>20190225</v>
      </c>
      <c r="B44" s="9">
        <v>88.32</v>
      </c>
      <c r="C44" s="9">
        <v>26.24</v>
      </c>
      <c r="D44" s="54">
        <f t="shared" si="0"/>
        <v>3.3658536585365852</v>
      </c>
      <c r="Q44" s="52"/>
      <c r="R44" s="52"/>
    </row>
    <row r="45" spans="1:18" x14ac:dyDescent="0.3">
      <c r="A45" s="8">
        <v>20190226</v>
      </c>
      <c r="B45" s="9">
        <v>88.48</v>
      </c>
      <c r="C45" s="9">
        <v>26.3</v>
      </c>
      <c r="D45" s="54">
        <f t="shared" si="0"/>
        <v>3.3642585551330799</v>
      </c>
      <c r="Q45" s="52"/>
      <c r="R45" s="52"/>
    </row>
    <row r="46" spans="1:18" x14ac:dyDescent="0.3">
      <c r="A46" s="8">
        <v>20190227</v>
      </c>
      <c r="B46" s="9">
        <v>87.82</v>
      </c>
      <c r="C46" s="9">
        <v>26.1</v>
      </c>
      <c r="D46" s="54">
        <f t="shared" si="0"/>
        <v>3.3647509578544055</v>
      </c>
      <c r="Q46" s="52"/>
      <c r="R46" s="52"/>
    </row>
    <row r="47" spans="1:18" x14ac:dyDescent="0.3">
      <c r="A47" s="8">
        <v>20190228</v>
      </c>
      <c r="B47" s="9">
        <v>87.87</v>
      </c>
      <c r="C47" s="9">
        <v>26.09</v>
      </c>
      <c r="D47" s="54">
        <f t="shared" si="0"/>
        <v>3.3679570716749714</v>
      </c>
      <c r="Q47" s="52"/>
      <c r="R47" s="52"/>
    </row>
    <row r="48" spans="1:18" x14ac:dyDescent="0.3">
      <c r="A48" s="8">
        <v>20190301</v>
      </c>
      <c r="B48" s="9">
        <v>87.27</v>
      </c>
      <c r="C48" s="9">
        <v>25.91</v>
      </c>
      <c r="D48" s="54">
        <f t="shared" si="0"/>
        <v>3.368197607101505</v>
      </c>
      <c r="Q48" s="52"/>
      <c r="R48" s="52"/>
    </row>
    <row r="49" spans="1:18" x14ac:dyDescent="0.3">
      <c r="A49" s="8">
        <v>20190304</v>
      </c>
      <c r="B49" s="9">
        <v>87.51</v>
      </c>
      <c r="C49" s="9">
        <v>26.01</v>
      </c>
      <c r="D49" s="54">
        <f t="shared" si="0"/>
        <v>3.364475201845444</v>
      </c>
      <c r="Q49" s="52"/>
      <c r="R49" s="52"/>
    </row>
    <row r="50" spans="1:18" x14ac:dyDescent="0.3">
      <c r="A50" s="8">
        <v>20190305</v>
      </c>
      <c r="B50" s="9">
        <v>87.66</v>
      </c>
      <c r="C50" s="9">
        <v>26.1</v>
      </c>
      <c r="D50" s="54">
        <f t="shared" si="0"/>
        <v>3.3586206896551722</v>
      </c>
      <c r="Q50" s="52"/>
      <c r="R50" s="52"/>
    </row>
    <row r="51" spans="1:18" x14ac:dyDescent="0.3">
      <c r="A51" s="8">
        <v>20190306</v>
      </c>
      <c r="B51" s="9">
        <v>87.89</v>
      </c>
      <c r="C51" s="9">
        <v>26.09</v>
      </c>
      <c r="D51" s="54">
        <f t="shared" si="0"/>
        <v>3.3687236489076273</v>
      </c>
      <c r="Q51" s="52"/>
      <c r="R51" s="52"/>
    </row>
    <row r="52" spans="1:18" x14ac:dyDescent="0.3">
      <c r="A52" s="8">
        <v>20190307</v>
      </c>
      <c r="B52" s="9">
        <v>88.17</v>
      </c>
      <c r="C52" s="9">
        <v>26.16</v>
      </c>
      <c r="D52" s="54">
        <f t="shared" si="0"/>
        <v>3.3704128440366974</v>
      </c>
      <c r="Q52" s="52"/>
      <c r="R52" s="52"/>
    </row>
    <row r="53" spans="1:18" x14ac:dyDescent="0.3">
      <c r="A53" s="8">
        <v>20190308</v>
      </c>
      <c r="B53" s="9">
        <v>88.28</v>
      </c>
      <c r="C53" s="9">
        <v>26.18</v>
      </c>
      <c r="D53" s="54">
        <f t="shared" si="0"/>
        <v>3.3720397249809015</v>
      </c>
      <c r="Q53" s="52"/>
      <c r="R53" s="52"/>
    </row>
    <row r="54" spans="1:18" x14ac:dyDescent="0.3">
      <c r="A54" s="8">
        <v>20190311</v>
      </c>
      <c r="B54" s="9">
        <v>88.39</v>
      </c>
      <c r="C54" s="9">
        <v>26.22</v>
      </c>
      <c r="D54" s="54">
        <f t="shared" si="0"/>
        <v>3.3710907704042716</v>
      </c>
      <c r="Q54" s="52"/>
      <c r="R54" s="52"/>
    </row>
    <row r="55" spans="1:18" x14ac:dyDescent="0.3">
      <c r="A55" s="8">
        <v>20190312</v>
      </c>
      <c r="B55" s="9">
        <v>88.83</v>
      </c>
      <c r="C55" s="9">
        <v>26.36</v>
      </c>
      <c r="D55" s="54">
        <f t="shared" si="0"/>
        <v>3.3698786039453719</v>
      </c>
      <c r="Q55" s="52"/>
      <c r="R55" s="52"/>
    </row>
    <row r="56" spans="1:18" x14ac:dyDescent="0.3">
      <c r="A56" s="8">
        <v>20190313</v>
      </c>
      <c r="B56" s="9">
        <v>88.58</v>
      </c>
      <c r="C56" s="9">
        <v>26.27</v>
      </c>
      <c r="D56" s="54">
        <f t="shared" si="0"/>
        <v>3.3719071183859914</v>
      </c>
      <c r="Q56" s="52"/>
      <c r="R56" s="52"/>
    </row>
    <row r="57" spans="1:18" x14ac:dyDescent="0.3">
      <c r="A57" s="8">
        <v>20190314</v>
      </c>
      <c r="B57" s="9">
        <v>88.29</v>
      </c>
      <c r="C57" s="9">
        <v>26.15</v>
      </c>
      <c r="D57" s="54">
        <f t="shared" si="0"/>
        <v>3.3762906309751437</v>
      </c>
      <c r="Q57" s="52"/>
      <c r="R57" s="52"/>
    </row>
    <row r="58" spans="1:18" x14ac:dyDescent="0.3">
      <c r="A58" s="8">
        <v>20190315</v>
      </c>
      <c r="B58" s="9">
        <v>88.74</v>
      </c>
      <c r="C58" s="9">
        <v>26.3</v>
      </c>
      <c r="D58" s="54">
        <f t="shared" si="0"/>
        <v>3.3741444866920149</v>
      </c>
      <c r="Q58" s="52"/>
      <c r="R58" s="52"/>
    </row>
    <row r="59" spans="1:18" x14ac:dyDescent="0.3">
      <c r="A59" s="8">
        <v>20190318</v>
      </c>
      <c r="B59" s="9">
        <v>88.68</v>
      </c>
      <c r="C59" s="9">
        <v>26.31</v>
      </c>
      <c r="D59" s="54">
        <f t="shared" si="0"/>
        <v>3.3705815279361464</v>
      </c>
      <c r="Q59" s="52"/>
      <c r="R59" s="52"/>
    </row>
    <row r="60" spans="1:18" x14ac:dyDescent="0.3">
      <c r="A60" s="8">
        <v>20190319</v>
      </c>
      <c r="B60" s="9">
        <v>88.74</v>
      </c>
      <c r="C60" s="9">
        <v>26.28</v>
      </c>
      <c r="D60" s="54">
        <f t="shared" si="0"/>
        <v>3.3767123287671228</v>
      </c>
      <c r="Q60" s="52"/>
      <c r="R60" s="52"/>
    </row>
    <row r="61" spans="1:18" x14ac:dyDescent="0.3">
      <c r="A61" s="8">
        <v>20190320</v>
      </c>
      <c r="B61" s="9">
        <v>89.48</v>
      </c>
      <c r="C61" s="9">
        <v>26.53</v>
      </c>
      <c r="D61" s="54">
        <f t="shared" si="0"/>
        <v>3.3727855258198267</v>
      </c>
      <c r="Q61" s="52"/>
      <c r="R61" s="52"/>
    </row>
    <row r="62" spans="1:18" x14ac:dyDescent="0.3">
      <c r="A62" s="8">
        <v>20190321</v>
      </c>
      <c r="B62" s="9">
        <v>89.7</v>
      </c>
      <c r="C62" s="9">
        <v>26.58</v>
      </c>
      <c r="D62" s="54">
        <f t="shared" si="0"/>
        <v>3.3747178329571108</v>
      </c>
      <c r="Q62" s="52"/>
      <c r="R62" s="52"/>
    </row>
    <row r="63" spans="1:18" x14ac:dyDescent="0.3">
      <c r="A63" s="8">
        <v>20190322</v>
      </c>
      <c r="B63" s="9">
        <v>90.5</v>
      </c>
      <c r="C63" s="9">
        <v>26.85</v>
      </c>
      <c r="D63" s="54">
        <f t="shared" si="0"/>
        <v>3.3705772811918062</v>
      </c>
      <c r="Q63" s="52"/>
      <c r="R63" s="52"/>
    </row>
    <row r="64" spans="1:18" x14ac:dyDescent="0.3">
      <c r="A64" s="8">
        <v>20190325</v>
      </c>
      <c r="B64" s="9">
        <v>90.78</v>
      </c>
      <c r="C64" s="9">
        <v>26.96</v>
      </c>
      <c r="D64" s="54">
        <f t="shared" si="0"/>
        <v>3.3672106824925816</v>
      </c>
      <c r="Q64" s="52"/>
      <c r="R64" s="52"/>
    </row>
    <row r="65" spans="1:18" x14ac:dyDescent="0.3">
      <c r="A65" s="8">
        <v>20190326</v>
      </c>
      <c r="B65" s="9">
        <v>90.75</v>
      </c>
      <c r="C65" s="9">
        <v>26.96</v>
      </c>
      <c r="D65" s="54">
        <f t="shared" si="0"/>
        <v>3.3660979228486645</v>
      </c>
      <c r="Q65" s="52"/>
      <c r="R65" s="52"/>
    </row>
    <row r="66" spans="1:18" x14ac:dyDescent="0.3">
      <c r="A66" s="8">
        <v>20190327</v>
      </c>
      <c r="B66" s="9">
        <v>91.26</v>
      </c>
      <c r="C66" s="9">
        <v>27.07</v>
      </c>
      <c r="D66" s="54">
        <f t="shared" si="0"/>
        <v>3.3712596970816402</v>
      </c>
      <c r="Q66" s="52"/>
      <c r="R66" s="52"/>
    </row>
    <row r="67" spans="1:18" x14ac:dyDescent="0.3">
      <c r="A67" s="8">
        <v>20190328</v>
      </c>
      <c r="B67" s="9">
        <v>91.26</v>
      </c>
      <c r="C67" s="9">
        <v>27.12</v>
      </c>
      <c r="D67" s="54">
        <f t="shared" si="0"/>
        <v>3.3650442477876106</v>
      </c>
      <c r="Q67" s="52"/>
      <c r="R67" s="52"/>
    </row>
    <row r="68" spans="1:18" x14ac:dyDescent="0.3">
      <c r="A68" s="8">
        <v>20190329</v>
      </c>
      <c r="B68" s="9">
        <v>91.53</v>
      </c>
      <c r="C68" s="9">
        <v>27.13</v>
      </c>
      <c r="D68" s="54">
        <f t="shared" si="0"/>
        <v>3.3737559896793221</v>
      </c>
      <c r="Q68" s="52"/>
      <c r="R68" s="52"/>
    </row>
    <row r="69" spans="1:18" x14ac:dyDescent="0.3">
      <c r="A69" s="8">
        <v>20190401</v>
      </c>
      <c r="B69" s="9">
        <v>90.32</v>
      </c>
      <c r="C69" s="9">
        <v>26.83</v>
      </c>
      <c r="D69" s="54">
        <f t="shared" si="0"/>
        <v>3.366380916884085</v>
      </c>
      <c r="Q69" s="52"/>
      <c r="R69" s="52"/>
    </row>
    <row r="70" spans="1:18" x14ac:dyDescent="0.3">
      <c r="A70" s="8">
        <v>20190402</v>
      </c>
      <c r="B70" s="9">
        <v>90.55</v>
      </c>
      <c r="C70" s="9">
        <v>26.87</v>
      </c>
      <c r="D70" s="54">
        <f t="shared" si="0"/>
        <v>3.3699292891700781</v>
      </c>
      <c r="Q70" s="52"/>
      <c r="R70" s="52"/>
    </row>
    <row r="71" spans="1:18" x14ac:dyDescent="0.3">
      <c r="A71" s="8">
        <v>20190403</v>
      </c>
      <c r="B71" s="9">
        <v>90.3</v>
      </c>
      <c r="C71" s="9">
        <v>26.8</v>
      </c>
      <c r="D71" s="54">
        <f t="shared" si="0"/>
        <v>3.3694029850746268</v>
      </c>
      <c r="Q71" s="52"/>
      <c r="R71" s="52"/>
    </row>
    <row r="72" spans="1:18" x14ac:dyDescent="0.3">
      <c r="A72" s="8">
        <v>20190404</v>
      </c>
      <c r="B72" s="9">
        <v>90.4</v>
      </c>
      <c r="C72" s="9">
        <v>26.86</v>
      </c>
      <c r="D72" s="54">
        <f t="shared" si="0"/>
        <v>3.3655994043186896</v>
      </c>
      <c r="Q72" s="52"/>
      <c r="R72" s="52"/>
    </row>
    <row r="73" spans="1:18" x14ac:dyDescent="0.3">
      <c r="A73" s="8">
        <v>20190405</v>
      </c>
      <c r="B73" s="9">
        <v>90.65</v>
      </c>
      <c r="C73" s="9">
        <v>26.9</v>
      </c>
      <c r="D73" s="54">
        <f t="shared" ref="D73:D136" si="3">B73/C73</f>
        <v>3.3698884758364316</v>
      </c>
      <c r="Q73" s="52"/>
      <c r="R73" s="52"/>
    </row>
    <row r="74" spans="1:18" x14ac:dyDescent="0.3">
      <c r="A74" s="8">
        <v>20190408</v>
      </c>
      <c r="B74" s="9">
        <v>90.63</v>
      </c>
      <c r="C74" s="9">
        <v>26.9</v>
      </c>
      <c r="D74" s="54">
        <f t="shared" si="3"/>
        <v>3.3691449814126395</v>
      </c>
      <c r="Q74" s="52"/>
      <c r="R74" s="52"/>
    </row>
    <row r="75" spans="1:18" x14ac:dyDescent="0.3">
      <c r="A75" s="8">
        <v>20190409</v>
      </c>
      <c r="B75" s="9">
        <v>90.84</v>
      </c>
      <c r="C75" s="9">
        <v>26.99</v>
      </c>
      <c r="D75" s="54">
        <f t="shared" si="3"/>
        <v>3.3656909966654318</v>
      </c>
      <c r="Q75" s="52"/>
      <c r="R75" s="52"/>
    </row>
    <row r="76" spans="1:18" x14ac:dyDescent="0.3">
      <c r="A76" s="8">
        <v>20190410</v>
      </c>
      <c r="B76" s="9">
        <v>91.39</v>
      </c>
      <c r="C76" s="9">
        <v>27.11</v>
      </c>
      <c r="D76" s="54">
        <f t="shared" si="3"/>
        <v>3.3710807819992623</v>
      </c>
      <c r="Q76" s="52"/>
      <c r="R76" s="52"/>
    </row>
    <row r="77" spans="1:18" x14ac:dyDescent="0.3">
      <c r="A77" s="8">
        <v>20190411</v>
      </c>
      <c r="B77" s="9">
        <v>91.33</v>
      </c>
      <c r="C77" s="9">
        <v>27.08</v>
      </c>
      <c r="D77" s="54">
        <f t="shared" si="3"/>
        <v>3.3725997045790255</v>
      </c>
      <c r="Q77" s="52"/>
      <c r="R77" s="52"/>
    </row>
    <row r="78" spans="1:18" x14ac:dyDescent="0.3">
      <c r="A78" s="8">
        <v>20190412</v>
      </c>
      <c r="B78" s="9">
        <v>91.17</v>
      </c>
      <c r="C78" s="9">
        <v>27.08</v>
      </c>
      <c r="D78" s="54">
        <f t="shared" si="3"/>
        <v>3.3666912850812412</v>
      </c>
      <c r="Q78" s="52"/>
      <c r="R78" s="52"/>
    </row>
    <row r="79" spans="1:18" x14ac:dyDescent="0.3">
      <c r="A79" s="8">
        <v>20190415</v>
      </c>
      <c r="B79" s="9">
        <v>91.16</v>
      </c>
      <c r="C79" s="9">
        <v>27.09</v>
      </c>
      <c r="D79" s="54">
        <f t="shared" si="3"/>
        <v>3.3650793650793651</v>
      </c>
      <c r="Q79" s="52"/>
      <c r="R79" s="52"/>
    </row>
    <row r="80" spans="1:18" x14ac:dyDescent="0.3">
      <c r="A80" s="8">
        <v>20190416</v>
      </c>
      <c r="B80" s="9">
        <v>90.59</v>
      </c>
      <c r="C80" s="9">
        <v>26.93</v>
      </c>
      <c r="D80" s="54">
        <f t="shared" si="3"/>
        <v>3.3639064240623839</v>
      </c>
      <c r="Q80" s="52"/>
      <c r="R80" s="52"/>
    </row>
    <row r="81" spans="1:18" x14ac:dyDescent="0.3">
      <c r="A81" s="8">
        <v>20190417</v>
      </c>
      <c r="B81" s="9">
        <v>90.65</v>
      </c>
      <c r="C81" s="9">
        <v>26.9</v>
      </c>
      <c r="D81" s="54">
        <f t="shared" si="3"/>
        <v>3.3698884758364316</v>
      </c>
      <c r="Q81" s="52"/>
      <c r="R81" s="52"/>
    </row>
    <row r="82" spans="1:18" x14ac:dyDescent="0.3">
      <c r="A82" s="8">
        <v>20190418</v>
      </c>
      <c r="B82" s="9">
        <v>90.92</v>
      </c>
      <c r="C82" s="9">
        <v>26.97</v>
      </c>
      <c r="D82" s="54">
        <f t="shared" si="3"/>
        <v>3.3711531331108642</v>
      </c>
      <c r="Q82" s="52"/>
      <c r="R82" s="52"/>
    </row>
    <row r="83" spans="1:18" x14ac:dyDescent="0.3">
      <c r="A83" s="8">
        <v>20190422</v>
      </c>
      <c r="B83" s="9">
        <v>90.59</v>
      </c>
      <c r="C83" s="9">
        <v>26.9</v>
      </c>
      <c r="D83" s="54">
        <f t="shared" si="3"/>
        <v>3.3676579925650563</v>
      </c>
      <c r="Q83" s="52"/>
      <c r="R83" s="52"/>
    </row>
    <row r="84" spans="1:18" x14ac:dyDescent="0.3">
      <c r="A84" s="8">
        <v>20190423</v>
      </c>
      <c r="B84" s="9">
        <v>90.86</v>
      </c>
      <c r="C84" s="9">
        <v>26.99</v>
      </c>
      <c r="D84" s="54">
        <f t="shared" si="3"/>
        <v>3.3664320118562432</v>
      </c>
      <c r="Q84" s="52"/>
      <c r="R84" s="52"/>
    </row>
    <row r="85" spans="1:18" x14ac:dyDescent="0.3">
      <c r="A85" s="8">
        <v>20190424</v>
      </c>
      <c r="B85" s="9">
        <v>91.51</v>
      </c>
      <c r="C85" s="9">
        <v>27.17</v>
      </c>
      <c r="D85" s="54">
        <f t="shared" si="3"/>
        <v>3.368052999631947</v>
      </c>
      <c r="Q85" s="52"/>
      <c r="R85" s="52"/>
    </row>
    <row r="86" spans="1:18" x14ac:dyDescent="0.3">
      <c r="A86" s="8">
        <v>20190425</v>
      </c>
      <c r="B86" s="9">
        <v>91.42</v>
      </c>
      <c r="C86" s="9">
        <v>27.16</v>
      </c>
      <c r="D86" s="54">
        <f t="shared" si="3"/>
        <v>3.365979381443299</v>
      </c>
      <c r="Q86" s="52"/>
      <c r="R86" s="52"/>
    </row>
    <row r="87" spans="1:18" x14ac:dyDescent="0.3">
      <c r="A87" s="8">
        <v>20190426</v>
      </c>
      <c r="B87" s="9">
        <v>91.88</v>
      </c>
      <c r="C87" s="9">
        <v>27.27</v>
      </c>
      <c r="D87" s="54">
        <f t="shared" si="3"/>
        <v>3.3692702603593689</v>
      </c>
      <c r="Q87" s="52"/>
      <c r="R87" s="52"/>
    </row>
    <row r="88" spans="1:18" x14ac:dyDescent="0.3">
      <c r="A88" s="8">
        <v>20190429</v>
      </c>
      <c r="B88" s="9">
        <v>91.33</v>
      </c>
      <c r="C88" s="9">
        <v>27.12</v>
      </c>
      <c r="D88" s="54">
        <f t="shared" si="3"/>
        <v>3.3676253687315634</v>
      </c>
      <c r="Q88" s="52"/>
      <c r="R88" s="52"/>
    </row>
    <row r="89" spans="1:18" x14ac:dyDescent="0.3">
      <c r="A89" s="8">
        <v>20190430</v>
      </c>
      <c r="B89" s="9">
        <v>91.35</v>
      </c>
      <c r="C89" s="9">
        <v>27.19</v>
      </c>
      <c r="D89" s="54">
        <f t="shared" si="3"/>
        <v>3.3596910628907684</v>
      </c>
      <c r="Q89" s="52"/>
      <c r="R89" s="52"/>
    </row>
    <row r="90" spans="1:18" x14ac:dyDescent="0.3">
      <c r="A90" s="8">
        <v>20190501</v>
      </c>
      <c r="B90" s="9">
        <v>91.48</v>
      </c>
      <c r="C90" s="9">
        <v>27.11</v>
      </c>
      <c r="D90" s="54">
        <f t="shared" si="3"/>
        <v>3.3744005901881229</v>
      </c>
      <c r="Q90" s="52"/>
      <c r="R90" s="52"/>
    </row>
    <row r="91" spans="1:18" x14ac:dyDescent="0.3">
      <c r="A91" s="8">
        <v>20190502</v>
      </c>
      <c r="B91" s="9">
        <v>90.83</v>
      </c>
      <c r="C91" s="9">
        <v>26.89</v>
      </c>
      <c r="D91" s="54">
        <f t="shared" si="3"/>
        <v>3.3778356266269989</v>
      </c>
      <c r="Q91" s="52"/>
      <c r="R91" s="52"/>
    </row>
    <row r="92" spans="1:18" x14ac:dyDescent="0.3">
      <c r="A92" s="8">
        <v>20190503</v>
      </c>
      <c r="B92" s="9">
        <v>91.12</v>
      </c>
      <c r="C92" s="9">
        <v>27.03</v>
      </c>
      <c r="D92" s="54">
        <f t="shared" si="3"/>
        <v>3.3710691823899372</v>
      </c>
      <c r="Q92" s="52"/>
      <c r="R92" s="52"/>
    </row>
    <row r="93" spans="1:18" x14ac:dyDescent="0.3">
      <c r="A93" s="8">
        <v>20190506</v>
      </c>
      <c r="B93" s="9">
        <v>91.34</v>
      </c>
      <c r="C93" s="9">
        <v>27.14</v>
      </c>
      <c r="D93" s="54">
        <f t="shared" si="3"/>
        <v>3.3655121591746502</v>
      </c>
      <c r="Q93" s="52"/>
      <c r="R93" s="52"/>
    </row>
    <row r="94" spans="1:18" x14ac:dyDescent="0.3">
      <c r="A94" s="8">
        <v>20190507</v>
      </c>
      <c r="B94" s="9">
        <v>91.39</v>
      </c>
      <c r="C94" s="9">
        <v>27.15</v>
      </c>
      <c r="D94" s="54">
        <f t="shared" si="3"/>
        <v>3.3661141804788217</v>
      </c>
      <c r="Q94" s="52"/>
      <c r="R94" s="52"/>
    </row>
    <row r="95" spans="1:18" x14ac:dyDescent="0.3">
      <c r="A95" s="8">
        <v>20190508</v>
      </c>
      <c r="B95" s="9">
        <v>91.02</v>
      </c>
      <c r="C95" s="9">
        <v>26.99</v>
      </c>
      <c r="D95" s="54">
        <f t="shared" si="3"/>
        <v>3.3723601333827342</v>
      </c>
      <c r="Q95" s="52"/>
      <c r="R95" s="52"/>
    </row>
    <row r="96" spans="1:18" x14ac:dyDescent="0.3">
      <c r="A96" s="8">
        <v>20190509</v>
      </c>
      <c r="B96" s="9">
        <v>91.1</v>
      </c>
      <c r="C96" s="9">
        <v>27.02</v>
      </c>
      <c r="D96" s="54">
        <f t="shared" si="3"/>
        <v>3.3715766099185789</v>
      </c>
      <c r="Q96" s="52"/>
      <c r="R96" s="52"/>
    </row>
    <row r="97" spans="1:18" x14ac:dyDescent="0.3">
      <c r="A97" s="8">
        <v>20190510</v>
      </c>
      <c r="B97" s="9">
        <v>91.06</v>
      </c>
      <c r="C97" s="9">
        <v>27.04</v>
      </c>
      <c r="D97" s="54">
        <f t="shared" si="3"/>
        <v>3.3676035502958581</v>
      </c>
      <c r="Q97" s="52"/>
      <c r="R97" s="52"/>
    </row>
    <row r="98" spans="1:18" x14ac:dyDescent="0.3">
      <c r="A98" s="8">
        <v>20190513</v>
      </c>
      <c r="B98" s="9">
        <v>91.09</v>
      </c>
      <c r="C98" s="9">
        <v>27.08</v>
      </c>
      <c r="D98" s="54">
        <f t="shared" si="3"/>
        <v>3.3637370753323488</v>
      </c>
      <c r="Q98" s="52"/>
      <c r="R98" s="52"/>
    </row>
    <row r="99" spans="1:18" x14ac:dyDescent="0.3">
      <c r="A99" s="8">
        <v>20190514</v>
      </c>
      <c r="B99" s="9">
        <v>91.02</v>
      </c>
      <c r="C99" s="9">
        <v>27.06</v>
      </c>
      <c r="D99" s="54">
        <f t="shared" si="3"/>
        <v>3.3636363636363638</v>
      </c>
      <c r="Q99" s="52"/>
      <c r="R99" s="52"/>
    </row>
    <row r="100" spans="1:18" x14ac:dyDescent="0.3">
      <c r="A100" s="8">
        <v>20190515</v>
      </c>
      <c r="B100" s="9">
        <v>91.34</v>
      </c>
      <c r="C100" s="9">
        <v>27.19</v>
      </c>
      <c r="D100" s="54">
        <f t="shared" si="3"/>
        <v>3.3593232806178741</v>
      </c>
      <c r="Q100" s="52"/>
      <c r="R100" s="52"/>
    </row>
    <row r="101" spans="1:18" x14ac:dyDescent="0.3">
      <c r="A101" s="8">
        <v>20190516</v>
      </c>
      <c r="B101" s="9">
        <v>91.29</v>
      </c>
      <c r="C101" s="9">
        <v>27.17</v>
      </c>
      <c r="D101" s="54">
        <f t="shared" si="3"/>
        <v>3.3599558336400444</v>
      </c>
      <c r="Q101" s="52"/>
      <c r="R101" s="52"/>
    </row>
    <row r="102" spans="1:18" x14ac:dyDescent="0.3">
      <c r="A102" s="8">
        <v>20190517</v>
      </c>
      <c r="B102" s="9">
        <v>91.43</v>
      </c>
      <c r="C102" s="9">
        <v>27.19</v>
      </c>
      <c r="D102" s="54">
        <f t="shared" si="3"/>
        <v>3.3626333210739245</v>
      </c>
      <c r="Q102" s="52"/>
      <c r="R102" s="52"/>
    </row>
    <row r="103" spans="1:18" x14ac:dyDescent="0.3">
      <c r="A103" s="8">
        <v>20190520</v>
      </c>
      <c r="B103" s="9">
        <v>91.2</v>
      </c>
      <c r="C103" s="9">
        <v>27.11</v>
      </c>
      <c r="D103" s="54">
        <f t="shared" si="3"/>
        <v>3.3640722980450022</v>
      </c>
      <c r="Q103" s="52"/>
      <c r="R103" s="52"/>
    </row>
    <row r="104" spans="1:18" x14ac:dyDescent="0.3">
      <c r="A104" s="8">
        <v>20190521</v>
      </c>
      <c r="B104" s="9">
        <v>91.28</v>
      </c>
      <c r="C104" s="9">
        <v>27.11</v>
      </c>
      <c r="D104" s="54">
        <f t="shared" si="3"/>
        <v>3.367023238657322</v>
      </c>
      <c r="Q104" s="52"/>
      <c r="R104" s="52"/>
    </row>
    <row r="105" spans="1:18" x14ac:dyDescent="0.3">
      <c r="A105" s="8">
        <v>20190522</v>
      </c>
      <c r="B105" s="9">
        <v>91.36</v>
      </c>
      <c r="C105" s="9">
        <v>27.18</v>
      </c>
      <c r="D105" s="54">
        <f t="shared" si="3"/>
        <v>3.3612950699043416</v>
      </c>
      <c r="Q105" s="52"/>
      <c r="R105" s="52"/>
    </row>
    <row r="106" spans="1:18" x14ac:dyDescent="0.3">
      <c r="A106" s="8">
        <v>20190523</v>
      </c>
      <c r="B106" s="9">
        <v>91.62</v>
      </c>
      <c r="C106" s="9">
        <v>27.19</v>
      </c>
      <c r="D106" s="54">
        <f t="shared" si="3"/>
        <v>3.3696211842589188</v>
      </c>
      <c r="Q106" s="52"/>
      <c r="R106" s="52"/>
    </row>
    <row r="107" spans="1:18" x14ac:dyDescent="0.3">
      <c r="A107" s="8">
        <v>20190524</v>
      </c>
      <c r="B107" s="9">
        <v>91.95</v>
      </c>
      <c r="C107" s="9">
        <v>27.31</v>
      </c>
      <c r="D107" s="54">
        <f t="shared" si="3"/>
        <v>3.3668985719516664</v>
      </c>
      <c r="Q107" s="52"/>
      <c r="R107" s="52"/>
    </row>
    <row r="108" spans="1:18" x14ac:dyDescent="0.3">
      <c r="A108" s="8">
        <v>20190528</v>
      </c>
      <c r="B108" s="9">
        <v>92.14</v>
      </c>
      <c r="C108" s="9">
        <v>27.37</v>
      </c>
      <c r="D108" s="54">
        <f t="shared" si="3"/>
        <v>3.3664596273291925</v>
      </c>
      <c r="Q108" s="52"/>
      <c r="R108" s="52"/>
    </row>
    <row r="109" spans="1:18" x14ac:dyDescent="0.3">
      <c r="A109" s="8">
        <v>20190529</v>
      </c>
      <c r="B109" s="9">
        <v>92.4</v>
      </c>
      <c r="C109" s="9">
        <v>27.4</v>
      </c>
      <c r="D109" s="54">
        <f t="shared" si="3"/>
        <v>3.3722627737226283</v>
      </c>
      <c r="Q109" s="52"/>
      <c r="R109" s="52"/>
    </row>
    <row r="110" spans="1:18" x14ac:dyDescent="0.3">
      <c r="A110" s="8">
        <v>20190530</v>
      </c>
      <c r="B110" s="9">
        <v>92.95</v>
      </c>
      <c r="C110" s="9">
        <v>27.58</v>
      </c>
      <c r="D110" s="54">
        <f t="shared" si="3"/>
        <v>3.3701957940536622</v>
      </c>
      <c r="Q110" s="52"/>
      <c r="R110" s="52"/>
    </row>
    <row r="111" spans="1:18" x14ac:dyDescent="0.3">
      <c r="A111" s="8">
        <v>20190531</v>
      </c>
      <c r="B111" s="9">
        <v>93.21</v>
      </c>
      <c r="C111" s="9">
        <v>27.71</v>
      </c>
      <c r="D111" s="54">
        <f t="shared" si="3"/>
        <v>3.3637675929267408</v>
      </c>
      <c r="Q111" s="52"/>
      <c r="R111" s="52"/>
    </row>
    <row r="112" spans="1:18" x14ac:dyDescent="0.3">
      <c r="A112" s="8">
        <v>20190603</v>
      </c>
      <c r="B112" s="9">
        <v>93.13</v>
      </c>
      <c r="C112" s="9">
        <v>27.68</v>
      </c>
      <c r="D112" s="54">
        <f t="shared" si="3"/>
        <v>3.364523121387283</v>
      </c>
      <c r="Q112" s="52"/>
      <c r="R112" s="52"/>
    </row>
    <row r="113" spans="1:18" x14ac:dyDescent="0.3">
      <c r="A113" s="8">
        <v>20190604</v>
      </c>
      <c r="B113" s="9">
        <v>92.94</v>
      </c>
      <c r="C113" s="9">
        <v>27.58</v>
      </c>
      <c r="D113" s="54">
        <f t="shared" si="3"/>
        <v>3.3698332124728063</v>
      </c>
      <c r="Q113" s="52"/>
      <c r="R113" s="52"/>
    </row>
    <row r="114" spans="1:18" x14ac:dyDescent="0.3">
      <c r="A114" s="8">
        <v>20190605</v>
      </c>
      <c r="B114" s="9">
        <v>92.77</v>
      </c>
      <c r="C114" s="9">
        <v>27.54</v>
      </c>
      <c r="D114" s="54">
        <f t="shared" si="3"/>
        <v>3.3685548293391432</v>
      </c>
      <c r="Q114" s="52"/>
      <c r="R114" s="52"/>
    </row>
    <row r="115" spans="1:18" x14ac:dyDescent="0.3">
      <c r="A115" s="8">
        <v>20190606</v>
      </c>
      <c r="B115" s="9">
        <v>93.04</v>
      </c>
      <c r="C115" s="9">
        <v>27.62</v>
      </c>
      <c r="D115" s="54">
        <f t="shared" si="3"/>
        <v>3.3685734974656047</v>
      </c>
      <c r="Q115" s="52"/>
      <c r="R115" s="52"/>
    </row>
    <row r="116" spans="1:18" x14ac:dyDescent="0.3">
      <c r="A116" s="8">
        <v>20190607</v>
      </c>
      <c r="B116" s="9">
        <v>93.78</v>
      </c>
      <c r="C116" s="9">
        <v>27.81</v>
      </c>
      <c r="D116" s="54">
        <f t="shared" si="3"/>
        <v>3.3721682847896441</v>
      </c>
      <c r="Q116" s="52"/>
      <c r="R116" s="52"/>
    </row>
    <row r="117" spans="1:18" x14ac:dyDescent="0.3">
      <c r="A117" s="8">
        <v>20190610</v>
      </c>
      <c r="B117" s="9">
        <v>93.5</v>
      </c>
      <c r="C117" s="9">
        <v>27.71</v>
      </c>
      <c r="D117" s="54">
        <f t="shared" si="3"/>
        <v>3.3742331288343559</v>
      </c>
      <c r="Q117" s="52"/>
      <c r="R117" s="52"/>
    </row>
    <row r="118" spans="1:18" x14ac:dyDescent="0.3">
      <c r="A118" s="8">
        <v>20190611</v>
      </c>
      <c r="B118" s="9">
        <v>93.53</v>
      </c>
      <c r="C118" s="9">
        <v>27.74</v>
      </c>
      <c r="D118" s="54">
        <f t="shared" si="3"/>
        <v>3.3716654650324442</v>
      </c>
      <c r="Q118" s="52"/>
      <c r="R118" s="52"/>
    </row>
    <row r="119" spans="1:18" x14ac:dyDescent="0.3">
      <c r="A119" s="8">
        <v>20190612</v>
      </c>
      <c r="B119" s="9">
        <v>93.4</v>
      </c>
      <c r="C119" s="9">
        <v>27.74</v>
      </c>
      <c r="D119" s="54">
        <f t="shared" si="3"/>
        <v>3.3669790915645281</v>
      </c>
      <c r="Q119" s="52"/>
      <c r="R119" s="52"/>
    </row>
    <row r="120" spans="1:18" x14ac:dyDescent="0.3">
      <c r="A120" s="8">
        <v>20190613</v>
      </c>
      <c r="B120" s="9">
        <v>93.75</v>
      </c>
      <c r="C120" s="9">
        <v>27.84</v>
      </c>
      <c r="D120" s="54">
        <f t="shared" si="3"/>
        <v>3.3674568965517242</v>
      </c>
      <c r="Q120" s="52"/>
      <c r="R120" s="52"/>
    </row>
    <row r="121" spans="1:18" x14ac:dyDescent="0.3">
      <c r="A121" s="8">
        <v>20190614</v>
      </c>
      <c r="B121" s="9">
        <v>93.96</v>
      </c>
      <c r="C121" s="9">
        <v>27.89</v>
      </c>
      <c r="D121" s="54">
        <f t="shared" si="3"/>
        <v>3.3689494442452488</v>
      </c>
      <c r="Q121" s="52"/>
      <c r="R121" s="52"/>
    </row>
    <row r="122" spans="1:18" x14ac:dyDescent="0.3">
      <c r="A122" s="8">
        <v>20190617</v>
      </c>
      <c r="B122" s="9">
        <v>94.09</v>
      </c>
      <c r="C122" s="9">
        <v>27.92</v>
      </c>
      <c r="D122" s="54">
        <f t="shared" si="3"/>
        <v>3.3699856733524354</v>
      </c>
      <c r="Q122" s="52"/>
      <c r="R122" s="52"/>
    </row>
    <row r="123" spans="1:18" x14ac:dyDescent="0.3">
      <c r="A123" s="8">
        <v>20190618</v>
      </c>
      <c r="B123" s="9">
        <v>94.94</v>
      </c>
      <c r="C123" s="9">
        <v>28.19</v>
      </c>
      <c r="D123" s="54">
        <f t="shared" si="3"/>
        <v>3.3678609435970199</v>
      </c>
      <c r="Q123" s="52"/>
      <c r="R123" s="52"/>
    </row>
    <row r="124" spans="1:18" x14ac:dyDescent="0.3">
      <c r="A124" s="8">
        <v>20190619</v>
      </c>
      <c r="B124" s="9">
        <v>95.9</v>
      </c>
      <c r="C124" s="9">
        <v>28.4</v>
      </c>
      <c r="D124" s="54">
        <f t="shared" si="3"/>
        <v>3.376760563380282</v>
      </c>
      <c r="Q124" s="52"/>
      <c r="R124" s="52"/>
    </row>
    <row r="125" spans="1:18" x14ac:dyDescent="0.3">
      <c r="A125" s="8">
        <v>20190620</v>
      </c>
      <c r="B125" s="9">
        <v>96.59</v>
      </c>
      <c r="C125" s="9">
        <v>28.6</v>
      </c>
      <c r="D125" s="54">
        <f t="shared" si="3"/>
        <v>3.3772727272727274</v>
      </c>
      <c r="Q125" s="52"/>
      <c r="R125" s="52"/>
    </row>
    <row r="126" spans="1:18" x14ac:dyDescent="0.3">
      <c r="A126" s="8">
        <v>20190621</v>
      </c>
      <c r="B126" s="9">
        <v>95.99</v>
      </c>
      <c r="C126" s="9">
        <v>28.5</v>
      </c>
      <c r="D126" s="54">
        <f t="shared" si="3"/>
        <v>3.3680701754385964</v>
      </c>
      <c r="Q126" s="52"/>
      <c r="R126" s="52"/>
    </row>
    <row r="127" spans="1:18" x14ac:dyDescent="0.3">
      <c r="A127" s="8">
        <v>20190624</v>
      </c>
      <c r="B127" s="9">
        <v>96.56</v>
      </c>
      <c r="C127" s="9">
        <v>28.62</v>
      </c>
      <c r="D127" s="54">
        <f t="shared" si="3"/>
        <v>3.3738644304682039</v>
      </c>
      <c r="Q127" s="52"/>
      <c r="R127" s="52"/>
    </row>
    <row r="128" spans="1:18" x14ac:dyDescent="0.3">
      <c r="A128" s="8">
        <v>20190625</v>
      </c>
      <c r="B128" s="9">
        <v>96.2</v>
      </c>
      <c r="C128" s="9">
        <v>28.52</v>
      </c>
      <c r="D128" s="54">
        <f t="shared" si="3"/>
        <v>3.3730715287517534</v>
      </c>
      <c r="Q128" s="52"/>
      <c r="R128" s="52"/>
    </row>
    <row r="129" spans="1:18" x14ac:dyDescent="0.3">
      <c r="A129" s="8">
        <v>20190626</v>
      </c>
      <c r="B129" s="9">
        <v>95.89</v>
      </c>
      <c r="C129" s="9">
        <v>28.45</v>
      </c>
      <c r="D129" s="54">
        <f t="shared" si="3"/>
        <v>3.3704745166959578</v>
      </c>
      <c r="Q129" s="52"/>
      <c r="R129" s="52"/>
    </row>
    <row r="130" spans="1:18" x14ac:dyDescent="0.3">
      <c r="A130" s="8">
        <v>20190627</v>
      </c>
      <c r="B130" s="9">
        <v>96.68</v>
      </c>
      <c r="C130" s="9">
        <v>28.67</v>
      </c>
      <c r="D130" s="54">
        <f t="shared" si="3"/>
        <v>3.3721660272061387</v>
      </c>
      <c r="Q130" s="52"/>
      <c r="R130" s="52"/>
    </row>
    <row r="131" spans="1:18" x14ac:dyDescent="0.3">
      <c r="A131" s="8">
        <v>20190628</v>
      </c>
      <c r="B131" s="9">
        <v>96.87</v>
      </c>
      <c r="C131" s="9">
        <v>28.75</v>
      </c>
      <c r="D131" s="54">
        <f t="shared" si="3"/>
        <v>3.3693913043478263</v>
      </c>
      <c r="Q131" s="52"/>
      <c r="R131" s="52"/>
    </row>
    <row r="132" spans="1:18" x14ac:dyDescent="0.3">
      <c r="A132" s="8">
        <v>20190701</v>
      </c>
      <c r="B132" s="9">
        <v>96.99</v>
      </c>
      <c r="C132" s="9">
        <v>28.77</v>
      </c>
      <c r="D132" s="54">
        <f t="shared" si="3"/>
        <v>3.3712200208550573</v>
      </c>
      <c r="Q132" s="52"/>
      <c r="R132" s="52"/>
    </row>
    <row r="133" spans="1:18" x14ac:dyDescent="0.3">
      <c r="A133" s="8">
        <v>20190702</v>
      </c>
      <c r="B133" s="9">
        <v>97.37</v>
      </c>
      <c r="C133" s="9">
        <v>28.88</v>
      </c>
      <c r="D133" s="54">
        <f t="shared" si="3"/>
        <v>3.3715373961218837</v>
      </c>
      <c r="Q133" s="52"/>
      <c r="R133" s="52"/>
    </row>
    <row r="134" spans="1:18" x14ac:dyDescent="0.3">
      <c r="A134" s="8">
        <v>20190703</v>
      </c>
      <c r="B134" s="9">
        <v>97.97</v>
      </c>
      <c r="C134" s="9">
        <v>29.08</v>
      </c>
      <c r="D134" s="54">
        <f t="shared" si="3"/>
        <v>3.3689821182943605</v>
      </c>
      <c r="Q134" s="52"/>
      <c r="R134" s="52"/>
    </row>
    <row r="135" spans="1:18" x14ac:dyDescent="0.3">
      <c r="A135" s="8">
        <v>20190705</v>
      </c>
      <c r="B135" s="9">
        <v>96.88</v>
      </c>
      <c r="C135" s="9">
        <v>28.71</v>
      </c>
      <c r="D135" s="54">
        <f t="shared" si="3"/>
        <v>3.3744339951236499</v>
      </c>
      <c r="Q135" s="52"/>
      <c r="R135" s="52"/>
    </row>
    <row r="136" spans="1:18" x14ac:dyDescent="0.3">
      <c r="A136" s="8">
        <v>20190708</v>
      </c>
      <c r="B136" s="9">
        <v>96.51</v>
      </c>
      <c r="C136" s="9">
        <v>28.7</v>
      </c>
      <c r="D136" s="54">
        <f t="shared" si="3"/>
        <v>3.3627177700348434</v>
      </c>
      <c r="Q136" s="52"/>
      <c r="R136" s="52"/>
    </row>
    <row r="137" spans="1:18" x14ac:dyDescent="0.3">
      <c r="A137" s="8">
        <v>20190709</v>
      </c>
      <c r="B137" s="9">
        <v>96.49</v>
      </c>
      <c r="C137" s="9">
        <v>28.66</v>
      </c>
      <c r="D137" s="54">
        <f t="shared" ref="D137:D200" si="4">B137/C137</f>
        <v>3.3667131891137472</v>
      </c>
      <c r="Q137" s="52"/>
      <c r="R137" s="52"/>
    </row>
    <row r="138" spans="1:18" x14ac:dyDescent="0.3">
      <c r="A138" s="8">
        <v>20190710</v>
      </c>
      <c r="B138" s="9">
        <v>96.41</v>
      </c>
      <c r="C138" s="9">
        <v>28.55</v>
      </c>
      <c r="D138" s="54">
        <f t="shared" si="4"/>
        <v>3.3768826619964973</v>
      </c>
      <c r="Q138" s="52"/>
      <c r="R138" s="52"/>
    </row>
    <row r="139" spans="1:18" x14ac:dyDescent="0.3">
      <c r="A139" s="8">
        <v>20190711</v>
      </c>
      <c r="B139" s="9">
        <v>95.63</v>
      </c>
      <c r="C139" s="9">
        <v>28.36</v>
      </c>
      <c r="D139" s="54">
        <f t="shared" si="4"/>
        <v>3.3720028208744708</v>
      </c>
      <c r="Q139" s="52"/>
      <c r="R139" s="52"/>
    </row>
    <row r="140" spans="1:18" x14ac:dyDescent="0.3">
      <c r="A140" s="8">
        <v>20190712</v>
      </c>
      <c r="B140" s="9">
        <v>95.58</v>
      </c>
      <c r="C140" s="9">
        <v>28.37</v>
      </c>
      <c r="D140" s="54">
        <f t="shared" si="4"/>
        <v>3.3690518152978495</v>
      </c>
      <c r="Q140" s="52"/>
      <c r="R140" s="52"/>
    </row>
    <row r="141" spans="1:18" x14ac:dyDescent="0.3">
      <c r="A141" s="8">
        <v>20190715</v>
      </c>
      <c r="B141" s="9">
        <v>95.89</v>
      </c>
      <c r="C141" s="9">
        <v>28.46</v>
      </c>
      <c r="D141" s="54">
        <f t="shared" si="4"/>
        <v>3.3692902319044271</v>
      </c>
      <c r="Q141" s="52"/>
      <c r="R141" s="52"/>
    </row>
    <row r="142" spans="1:18" x14ac:dyDescent="0.3">
      <c r="A142" s="8">
        <v>20190716</v>
      </c>
      <c r="B142" s="9">
        <v>95.59</v>
      </c>
      <c r="C142" s="9">
        <v>28.36</v>
      </c>
      <c r="D142" s="54">
        <f t="shared" si="4"/>
        <v>3.3705923836389284</v>
      </c>
      <c r="Q142" s="52"/>
      <c r="R142" s="52"/>
    </row>
    <row r="143" spans="1:18" x14ac:dyDescent="0.3">
      <c r="A143" s="8">
        <v>20190717</v>
      </c>
      <c r="B143" s="9">
        <v>96.44</v>
      </c>
      <c r="C143" s="9">
        <v>28.62</v>
      </c>
      <c r="D143" s="54">
        <f t="shared" si="4"/>
        <v>3.3696715583508032</v>
      </c>
      <c r="Q143" s="52"/>
      <c r="R143" s="52"/>
    </row>
    <row r="144" spans="1:18" x14ac:dyDescent="0.3">
      <c r="A144" s="8">
        <v>20190718</v>
      </c>
      <c r="B144" s="9">
        <v>96.76</v>
      </c>
      <c r="C144" s="9">
        <v>28.64</v>
      </c>
      <c r="D144" s="54">
        <f t="shared" si="4"/>
        <v>3.3784916201117321</v>
      </c>
      <c r="Q144" s="52"/>
      <c r="R144" s="52"/>
    </row>
    <row r="145" spans="1:18" x14ac:dyDescent="0.3">
      <c r="A145" s="8">
        <v>20190719</v>
      </c>
      <c r="B145" s="9">
        <v>96.5</v>
      </c>
      <c r="C145" s="9">
        <v>28.6</v>
      </c>
      <c r="D145" s="54">
        <f t="shared" si="4"/>
        <v>3.3741258741258742</v>
      </c>
      <c r="Q145" s="52"/>
      <c r="R145" s="52"/>
    </row>
    <row r="146" spans="1:18" x14ac:dyDescent="0.3">
      <c r="A146" s="8">
        <v>20190722</v>
      </c>
      <c r="B146" s="9">
        <v>96.75</v>
      </c>
      <c r="C146" s="9">
        <v>28.71</v>
      </c>
      <c r="D146" s="54">
        <f t="shared" si="4"/>
        <v>3.3699059561128526</v>
      </c>
      <c r="Q146" s="52"/>
      <c r="R146" s="52"/>
    </row>
    <row r="147" spans="1:18" x14ac:dyDescent="0.3">
      <c r="A147" s="8">
        <v>20190723</v>
      </c>
      <c r="B147" s="9">
        <v>96.89</v>
      </c>
      <c r="C147" s="9">
        <v>28.72</v>
      </c>
      <c r="D147" s="54">
        <f t="shared" si="4"/>
        <v>3.3736072423398329</v>
      </c>
      <c r="Q147" s="52"/>
      <c r="R147" s="52"/>
    </row>
    <row r="148" spans="1:18" x14ac:dyDescent="0.3">
      <c r="A148" s="8">
        <v>20190724</v>
      </c>
      <c r="B148" s="9">
        <v>97.29</v>
      </c>
      <c r="C148" s="9">
        <v>28.86</v>
      </c>
      <c r="D148" s="54">
        <f t="shared" si="4"/>
        <v>3.3711018711018714</v>
      </c>
      <c r="Q148" s="52"/>
      <c r="R148" s="52"/>
    </row>
    <row r="149" spans="1:18" x14ac:dyDescent="0.3">
      <c r="A149" s="8">
        <v>20190725</v>
      </c>
      <c r="B149" s="9">
        <v>97.02</v>
      </c>
      <c r="C149" s="9">
        <v>28.75</v>
      </c>
      <c r="D149" s="54">
        <f t="shared" si="4"/>
        <v>3.3746086956521739</v>
      </c>
      <c r="Q149" s="52"/>
      <c r="R149" s="52"/>
    </row>
    <row r="150" spans="1:18" x14ac:dyDescent="0.3">
      <c r="A150" s="8">
        <v>20190726</v>
      </c>
      <c r="B150" s="9">
        <v>97.21</v>
      </c>
      <c r="C150" s="9">
        <v>28.76</v>
      </c>
      <c r="D150" s="54">
        <f t="shared" si="4"/>
        <v>3.3800417246175241</v>
      </c>
      <c r="Q150" s="52"/>
      <c r="R150" s="52"/>
    </row>
    <row r="151" spans="1:18" x14ac:dyDescent="0.3">
      <c r="A151" s="8">
        <v>20190729</v>
      </c>
      <c r="B151" s="9">
        <v>97.17</v>
      </c>
      <c r="C151" s="9">
        <v>28.83</v>
      </c>
      <c r="D151" s="54">
        <f t="shared" si="4"/>
        <v>3.3704474505723208</v>
      </c>
      <c r="Q151" s="52"/>
      <c r="R151" s="52"/>
    </row>
    <row r="152" spans="1:18" x14ac:dyDescent="0.3">
      <c r="A152" s="8">
        <v>20190730</v>
      </c>
      <c r="B152" s="9">
        <v>97.1</v>
      </c>
      <c r="C152" s="9">
        <v>28.77</v>
      </c>
      <c r="D152" s="54">
        <f t="shared" si="4"/>
        <v>3.3750434480361484</v>
      </c>
      <c r="Q152" s="52"/>
      <c r="R152" s="52"/>
    </row>
    <row r="153" spans="1:18" x14ac:dyDescent="0.3">
      <c r="A153" s="8">
        <v>20190731</v>
      </c>
      <c r="B153" s="9">
        <v>97.39</v>
      </c>
      <c r="C153" s="9">
        <v>28.91</v>
      </c>
      <c r="D153" s="54">
        <f t="shared" si="4"/>
        <v>3.3687305430646837</v>
      </c>
      <c r="Q153" s="52"/>
      <c r="R153" s="52"/>
    </row>
    <row r="154" spans="1:18" x14ac:dyDescent="0.3">
      <c r="A154" s="8">
        <v>20190801</v>
      </c>
      <c r="B154" s="9">
        <v>98.2</v>
      </c>
      <c r="C154" s="9">
        <v>29.17</v>
      </c>
      <c r="D154" s="54">
        <f t="shared" si="4"/>
        <v>3.3664724031539253</v>
      </c>
      <c r="Q154" s="52"/>
      <c r="R154" s="52"/>
    </row>
    <row r="155" spans="1:18" x14ac:dyDescent="0.3">
      <c r="A155" s="8">
        <v>20190802</v>
      </c>
      <c r="B155" s="9">
        <v>98.43</v>
      </c>
      <c r="C155" s="9">
        <v>29.3</v>
      </c>
      <c r="D155" s="54">
        <f t="shared" si="4"/>
        <v>3.3593856655290102</v>
      </c>
      <c r="Q155" s="52"/>
      <c r="R155" s="52"/>
    </row>
    <row r="156" spans="1:18" x14ac:dyDescent="0.3">
      <c r="A156" s="8">
        <v>20190805</v>
      </c>
      <c r="B156" s="9">
        <v>98.75</v>
      </c>
      <c r="C156" s="9">
        <v>29.28</v>
      </c>
      <c r="D156" s="54">
        <f t="shared" si="4"/>
        <v>3.3726092896174862</v>
      </c>
      <c r="Q156" s="52"/>
      <c r="R156" s="52"/>
    </row>
    <row r="157" spans="1:18" x14ac:dyDescent="0.3">
      <c r="A157" s="8">
        <v>20190806</v>
      </c>
      <c r="B157" s="9">
        <v>99.45</v>
      </c>
      <c r="C157" s="9">
        <v>29.54</v>
      </c>
      <c r="D157" s="54">
        <f t="shared" si="4"/>
        <v>3.3666215301286395</v>
      </c>
      <c r="Q157" s="52"/>
      <c r="R157" s="52"/>
    </row>
    <row r="158" spans="1:18" x14ac:dyDescent="0.3">
      <c r="A158" s="8">
        <v>20190807</v>
      </c>
      <c r="B158" s="9">
        <v>99.53</v>
      </c>
      <c r="C158" s="9">
        <v>29.58</v>
      </c>
      <c r="D158" s="54">
        <f t="shared" si="4"/>
        <v>3.3647734956051387</v>
      </c>
      <c r="Q158" s="52"/>
      <c r="R158" s="52"/>
    </row>
    <row r="159" spans="1:18" x14ac:dyDescent="0.3">
      <c r="A159" s="8">
        <v>20190808</v>
      </c>
      <c r="B159" s="9">
        <v>99.93</v>
      </c>
      <c r="C159" s="9">
        <v>29.68</v>
      </c>
      <c r="D159" s="54">
        <f t="shared" si="4"/>
        <v>3.3669137466307282</v>
      </c>
      <c r="Q159" s="52"/>
      <c r="R159" s="52"/>
    </row>
    <row r="160" spans="1:18" x14ac:dyDescent="0.3">
      <c r="A160" s="8">
        <v>20190809</v>
      </c>
      <c r="B160" s="9">
        <v>99.67</v>
      </c>
      <c r="C160" s="9">
        <v>29.58</v>
      </c>
      <c r="D160" s="54">
        <f t="shared" si="4"/>
        <v>3.3695064232589589</v>
      </c>
      <c r="Q160" s="52"/>
      <c r="R160" s="52"/>
    </row>
    <row r="161" spans="1:18" x14ac:dyDescent="0.3">
      <c r="A161" s="8">
        <v>20190812</v>
      </c>
      <c r="B161" s="9">
        <v>100.6</v>
      </c>
      <c r="C161" s="9">
        <v>29.88</v>
      </c>
      <c r="D161" s="54">
        <f t="shared" si="4"/>
        <v>3.3668005354752344</v>
      </c>
      <c r="Q161" s="52"/>
      <c r="R161" s="52"/>
    </row>
    <row r="162" spans="1:18" x14ac:dyDescent="0.3">
      <c r="A162" s="8">
        <v>20190813</v>
      </c>
      <c r="B162" s="9">
        <v>100.62</v>
      </c>
      <c r="C162" s="9">
        <v>29.86</v>
      </c>
      <c r="D162" s="54">
        <f t="shared" si="4"/>
        <v>3.3697253851306099</v>
      </c>
      <c r="Q162" s="52"/>
      <c r="R162" s="52"/>
    </row>
    <row r="163" spans="1:18" x14ac:dyDescent="0.3">
      <c r="A163" s="8">
        <v>20190814</v>
      </c>
      <c r="B163" s="9">
        <v>101.47</v>
      </c>
      <c r="C163" s="9">
        <v>30.12</v>
      </c>
      <c r="D163" s="54">
        <f t="shared" si="4"/>
        <v>3.3688579017264275</v>
      </c>
      <c r="Q163" s="52"/>
      <c r="R163" s="52"/>
    </row>
    <row r="164" spans="1:18" x14ac:dyDescent="0.3">
      <c r="A164" s="8">
        <v>20190815</v>
      </c>
      <c r="B164" s="9">
        <v>101.94</v>
      </c>
      <c r="C164" s="9">
        <v>30.27</v>
      </c>
      <c r="D164" s="54">
        <f t="shared" si="4"/>
        <v>3.3676907829534191</v>
      </c>
      <c r="Q164" s="52"/>
      <c r="R164" s="52"/>
    </row>
    <row r="165" spans="1:18" x14ac:dyDescent="0.3">
      <c r="A165" s="8">
        <v>20190816</v>
      </c>
      <c r="B165" s="9">
        <v>101.91</v>
      </c>
      <c r="C165" s="9">
        <v>30.26</v>
      </c>
      <c r="D165" s="54">
        <f t="shared" si="4"/>
        <v>3.3678122934567081</v>
      </c>
      <c r="Q165" s="52"/>
      <c r="R165" s="52"/>
    </row>
    <row r="166" spans="1:18" x14ac:dyDescent="0.3">
      <c r="A166" s="8">
        <v>20190819</v>
      </c>
      <c r="B166" s="9">
        <v>101.39</v>
      </c>
      <c r="C166" s="9">
        <v>30.09</v>
      </c>
      <c r="D166" s="54">
        <f t="shared" si="4"/>
        <v>3.369557992688601</v>
      </c>
      <c r="Q166" s="52"/>
      <c r="R166" s="52"/>
    </row>
    <row r="167" spans="1:18" x14ac:dyDescent="0.3">
      <c r="A167" s="8">
        <v>20190820</v>
      </c>
      <c r="B167" s="9">
        <v>102.15</v>
      </c>
      <c r="C167" s="9">
        <v>30.35</v>
      </c>
      <c r="D167" s="54">
        <f t="shared" si="4"/>
        <v>3.3657331136738056</v>
      </c>
      <c r="Q167" s="52"/>
      <c r="R167" s="52"/>
    </row>
    <row r="168" spans="1:18" x14ac:dyDescent="0.3">
      <c r="A168" s="8">
        <v>20190821</v>
      </c>
      <c r="B168" s="9">
        <v>102.42</v>
      </c>
      <c r="C168" s="9">
        <v>30.45</v>
      </c>
      <c r="D168" s="54">
        <f t="shared" si="4"/>
        <v>3.3635467980295566</v>
      </c>
      <c r="Q168" s="52"/>
      <c r="R168" s="52"/>
    </row>
    <row r="169" spans="1:18" x14ac:dyDescent="0.3">
      <c r="A169" s="8">
        <v>20190822</v>
      </c>
      <c r="B169" s="9">
        <v>101.85</v>
      </c>
      <c r="C169" s="9">
        <v>30.24</v>
      </c>
      <c r="D169" s="54">
        <f t="shared" si="4"/>
        <v>3.3680555555555554</v>
      </c>
      <c r="Q169" s="52"/>
      <c r="R169" s="52"/>
    </row>
    <row r="170" spans="1:18" x14ac:dyDescent="0.3">
      <c r="A170" s="8">
        <v>20190823</v>
      </c>
      <c r="B170" s="9">
        <v>102.69</v>
      </c>
      <c r="C170" s="9">
        <v>30.44</v>
      </c>
      <c r="D170" s="54">
        <f t="shared" si="4"/>
        <v>3.3735216819973717</v>
      </c>
      <c r="Q170" s="52"/>
      <c r="R170" s="52"/>
    </row>
    <row r="171" spans="1:18" x14ac:dyDescent="0.3">
      <c r="A171" s="8">
        <v>20190826</v>
      </c>
      <c r="B171" s="9">
        <v>102.36</v>
      </c>
      <c r="C171" s="9">
        <v>30.42</v>
      </c>
      <c r="D171" s="54">
        <f t="shared" si="4"/>
        <v>3.3648915187376724</v>
      </c>
      <c r="Q171" s="52"/>
      <c r="R171" s="52"/>
    </row>
    <row r="172" spans="1:18" x14ac:dyDescent="0.3">
      <c r="A172" s="8">
        <v>20190827</v>
      </c>
      <c r="B172" s="9">
        <v>103.4</v>
      </c>
      <c r="C172" s="9">
        <v>30.67</v>
      </c>
      <c r="D172" s="54">
        <f t="shared" si="4"/>
        <v>3.3713726768829475</v>
      </c>
      <c r="Q172" s="52"/>
      <c r="R172" s="52"/>
    </row>
    <row r="173" spans="1:18" x14ac:dyDescent="0.3">
      <c r="A173" s="8">
        <v>20190828</v>
      </c>
      <c r="B173" s="9">
        <v>103.47</v>
      </c>
      <c r="C173" s="9">
        <v>30.71</v>
      </c>
      <c r="D173" s="54">
        <f t="shared" si="4"/>
        <v>3.3692608270921522</v>
      </c>
      <c r="Q173" s="52"/>
      <c r="R173" s="52"/>
    </row>
    <row r="174" spans="1:18" x14ac:dyDescent="0.3">
      <c r="A174" s="8">
        <v>20190829</v>
      </c>
      <c r="B174" s="9">
        <v>103.05</v>
      </c>
      <c r="C174" s="9">
        <v>30.63</v>
      </c>
      <c r="D174" s="54">
        <f t="shared" si="4"/>
        <v>3.3643486777668952</v>
      </c>
      <c r="Q174" s="52"/>
      <c r="R174" s="52"/>
    </row>
    <row r="175" spans="1:18" x14ac:dyDescent="0.3">
      <c r="A175" s="8">
        <v>20190830</v>
      </c>
      <c r="B175" s="9">
        <v>102.58</v>
      </c>
      <c r="C175" s="9">
        <v>30.55</v>
      </c>
      <c r="D175" s="54">
        <f t="shared" si="4"/>
        <v>3.3577741407528641</v>
      </c>
      <c r="Q175" s="52"/>
      <c r="R175" s="52"/>
    </row>
    <row r="176" spans="1:18" x14ac:dyDescent="0.3">
      <c r="A176" s="8">
        <v>20190903</v>
      </c>
      <c r="B176" s="9">
        <v>102.62</v>
      </c>
      <c r="C176" s="9">
        <v>30.45</v>
      </c>
      <c r="D176" s="54">
        <f t="shared" si="4"/>
        <v>3.370114942528736</v>
      </c>
      <c r="Q176" s="52"/>
      <c r="R176" s="52"/>
    </row>
    <row r="177" spans="1:18" x14ac:dyDescent="0.3">
      <c r="A177" s="8">
        <v>20190904</v>
      </c>
      <c r="B177" s="9">
        <v>102.49</v>
      </c>
      <c r="C177" s="9">
        <v>30.47</v>
      </c>
      <c r="D177" s="54">
        <f t="shared" si="4"/>
        <v>3.3636363636363638</v>
      </c>
      <c r="Q177" s="52"/>
      <c r="R177" s="52"/>
    </row>
    <row r="178" spans="1:18" x14ac:dyDescent="0.3">
      <c r="A178" s="8">
        <v>20190905</v>
      </c>
      <c r="B178" s="9">
        <v>101.37</v>
      </c>
      <c r="C178" s="9">
        <v>30.14</v>
      </c>
      <c r="D178" s="54">
        <f t="shared" si="4"/>
        <v>3.3633045786330458</v>
      </c>
      <c r="Q178" s="52"/>
      <c r="R178" s="52"/>
    </row>
    <row r="179" spans="1:18" x14ac:dyDescent="0.3">
      <c r="A179" s="8">
        <v>20190906</v>
      </c>
      <c r="B179" s="9">
        <v>102.25</v>
      </c>
      <c r="C179" s="9">
        <v>30.31</v>
      </c>
      <c r="D179" s="54">
        <f t="shared" si="4"/>
        <v>3.3734741009567801</v>
      </c>
      <c r="Q179" s="52"/>
      <c r="R179" s="52"/>
    </row>
    <row r="180" spans="1:18" x14ac:dyDescent="0.3">
      <c r="A180" s="8">
        <v>20190909</v>
      </c>
      <c r="B180" s="9">
        <v>100.86</v>
      </c>
      <c r="C180" s="9">
        <v>29.97</v>
      </c>
      <c r="D180" s="54">
        <f t="shared" si="4"/>
        <v>3.3653653653653657</v>
      </c>
      <c r="Q180" s="52"/>
      <c r="R180" s="52"/>
    </row>
    <row r="181" spans="1:18" x14ac:dyDescent="0.3">
      <c r="A181" s="8">
        <v>20190910</v>
      </c>
      <c r="B181" s="9">
        <v>99.65</v>
      </c>
      <c r="C181" s="9">
        <v>29.57</v>
      </c>
      <c r="D181" s="54">
        <f t="shared" si="4"/>
        <v>3.3699695637470413</v>
      </c>
      <c r="Q181" s="52"/>
      <c r="R181" s="52"/>
    </row>
    <row r="182" spans="1:18" x14ac:dyDescent="0.3">
      <c r="A182" s="8">
        <v>20190911</v>
      </c>
      <c r="B182" s="9">
        <v>99.24</v>
      </c>
      <c r="C182" s="9">
        <v>29.55</v>
      </c>
      <c r="D182" s="54">
        <f t="shared" si="4"/>
        <v>3.3583756345177664</v>
      </c>
      <c r="Q182" s="52"/>
      <c r="R182" s="52"/>
    </row>
    <row r="183" spans="1:18" x14ac:dyDescent="0.3">
      <c r="A183" s="8">
        <v>20190912</v>
      </c>
      <c r="B183" s="9">
        <v>99.44</v>
      </c>
      <c r="C183" s="9">
        <v>29.48</v>
      </c>
      <c r="D183" s="54">
        <f t="shared" si="4"/>
        <v>3.3731343283582089</v>
      </c>
      <c r="Q183" s="52"/>
      <c r="R183" s="52"/>
    </row>
    <row r="184" spans="1:18" x14ac:dyDescent="0.3">
      <c r="A184" s="8">
        <v>20190913</v>
      </c>
      <c r="B184" s="9">
        <v>97.65</v>
      </c>
      <c r="C184" s="9">
        <v>29.05</v>
      </c>
      <c r="D184" s="54">
        <f t="shared" si="4"/>
        <v>3.3614457831325302</v>
      </c>
      <c r="Q184" s="52"/>
      <c r="R184" s="52"/>
    </row>
    <row r="185" spans="1:18" x14ac:dyDescent="0.3">
      <c r="A185" s="8">
        <v>20190916</v>
      </c>
      <c r="B185" s="9">
        <v>98.44</v>
      </c>
      <c r="C185" s="9">
        <v>29.27</v>
      </c>
      <c r="D185" s="54">
        <f t="shared" si="4"/>
        <v>3.3631704817218995</v>
      </c>
      <c r="Q185" s="52"/>
      <c r="R185" s="52"/>
    </row>
    <row r="186" spans="1:18" x14ac:dyDescent="0.3">
      <c r="A186" s="8">
        <v>20190917</v>
      </c>
      <c r="B186" s="9">
        <v>98.82</v>
      </c>
      <c r="C186" s="9">
        <v>29.4</v>
      </c>
      <c r="D186" s="54">
        <f t="shared" si="4"/>
        <v>3.3612244897959185</v>
      </c>
      <c r="Q186" s="52"/>
      <c r="R186" s="52"/>
    </row>
    <row r="187" spans="1:18" x14ac:dyDescent="0.3">
      <c r="A187" s="8">
        <v>20190918</v>
      </c>
      <c r="B187" s="9">
        <v>99.4</v>
      </c>
      <c r="C187" s="9">
        <v>29.56</v>
      </c>
      <c r="D187" s="54">
        <f t="shared" si="4"/>
        <v>3.3626522327469557</v>
      </c>
      <c r="Q187" s="52"/>
      <c r="R187" s="52"/>
    </row>
    <row r="188" spans="1:18" x14ac:dyDescent="0.3">
      <c r="A188" s="8">
        <v>20190919</v>
      </c>
      <c r="B188" s="9">
        <v>99.76</v>
      </c>
      <c r="C188" s="9">
        <v>29.6</v>
      </c>
      <c r="D188" s="54">
        <f t="shared" si="4"/>
        <v>3.3702702702702703</v>
      </c>
      <c r="Q188" s="52"/>
      <c r="R188" s="52"/>
    </row>
    <row r="189" spans="1:18" x14ac:dyDescent="0.3">
      <c r="A189" s="8">
        <v>20190920</v>
      </c>
      <c r="B189" s="9">
        <v>100.86</v>
      </c>
      <c r="C189" s="9">
        <v>29.97</v>
      </c>
      <c r="D189" s="54">
        <f t="shared" si="4"/>
        <v>3.3653653653653657</v>
      </c>
      <c r="Q189" s="52"/>
      <c r="R189" s="52"/>
    </row>
    <row r="190" spans="1:18" x14ac:dyDescent="0.3">
      <c r="A190" s="8">
        <v>20190923</v>
      </c>
      <c r="B190" s="9">
        <v>100.82</v>
      </c>
      <c r="C190" s="9">
        <v>29.96</v>
      </c>
      <c r="D190" s="54">
        <f t="shared" si="4"/>
        <v>3.365153538050734</v>
      </c>
      <c r="Q190" s="52"/>
      <c r="R190" s="52"/>
    </row>
    <row r="191" spans="1:18" x14ac:dyDescent="0.3">
      <c r="A191" s="8">
        <v>20190924</v>
      </c>
      <c r="B191" s="9">
        <v>101.38</v>
      </c>
      <c r="C191" s="9">
        <v>30.13</v>
      </c>
      <c r="D191" s="54">
        <f t="shared" si="4"/>
        <v>3.3647527381347495</v>
      </c>
      <c r="Q191" s="52"/>
      <c r="R191" s="52"/>
    </row>
    <row r="192" spans="1:18" x14ac:dyDescent="0.3">
      <c r="A192" s="8">
        <v>20190925</v>
      </c>
      <c r="B192" s="9">
        <v>100.56</v>
      </c>
      <c r="C192" s="9">
        <v>29.84</v>
      </c>
      <c r="D192" s="54">
        <f t="shared" si="4"/>
        <v>3.3699731903485257</v>
      </c>
      <c r="Q192" s="52"/>
      <c r="R192" s="52"/>
    </row>
    <row r="193" spans="1:18" x14ac:dyDescent="0.3">
      <c r="A193" s="8">
        <v>20190926</v>
      </c>
      <c r="B193" s="9">
        <v>100.92</v>
      </c>
      <c r="C193" s="9">
        <v>29.92</v>
      </c>
      <c r="D193" s="54">
        <f t="shared" si="4"/>
        <v>3.3729946524064172</v>
      </c>
      <c r="Q193" s="52"/>
      <c r="R193" s="52"/>
    </row>
    <row r="194" spans="1:18" x14ac:dyDescent="0.3">
      <c r="A194" s="8">
        <v>20190927</v>
      </c>
      <c r="B194" s="9">
        <v>100.9</v>
      </c>
      <c r="C194" s="9">
        <v>29.95</v>
      </c>
      <c r="D194" s="54">
        <f t="shared" si="4"/>
        <v>3.3689482470784644</v>
      </c>
      <c r="Q194" s="52"/>
      <c r="R194" s="52"/>
    </row>
    <row r="195" spans="1:18" x14ac:dyDescent="0.3">
      <c r="A195" s="8">
        <v>20190930</v>
      </c>
      <c r="B195" s="9">
        <v>101.14</v>
      </c>
      <c r="C195" s="9">
        <v>30.09</v>
      </c>
      <c r="D195" s="54">
        <f t="shared" si="4"/>
        <v>3.3612495845795944</v>
      </c>
      <c r="Q195" s="52"/>
      <c r="R195" s="52"/>
    </row>
    <row r="196" spans="1:18" x14ac:dyDescent="0.3">
      <c r="A196" s="8">
        <v>20191001</v>
      </c>
      <c r="B196" s="9">
        <v>101.09</v>
      </c>
      <c r="C196" s="9">
        <v>30.04</v>
      </c>
      <c r="D196" s="54">
        <f t="shared" si="4"/>
        <v>3.3651797603195743</v>
      </c>
      <c r="Q196" s="52"/>
      <c r="R196" s="52"/>
    </row>
    <row r="197" spans="1:18" x14ac:dyDescent="0.3">
      <c r="A197" s="8">
        <v>20191002</v>
      </c>
      <c r="B197" s="9">
        <v>100.86</v>
      </c>
      <c r="C197" s="9">
        <v>29.98</v>
      </c>
      <c r="D197" s="54">
        <f t="shared" si="4"/>
        <v>3.364242828552368</v>
      </c>
      <c r="Q197" s="52"/>
      <c r="R197" s="52"/>
    </row>
    <row r="198" spans="1:18" x14ac:dyDescent="0.3">
      <c r="A198" s="8">
        <v>20191003</v>
      </c>
      <c r="B198" s="9">
        <v>101.31</v>
      </c>
      <c r="C198" s="9">
        <v>30.08</v>
      </c>
      <c r="D198" s="54">
        <f t="shared" si="4"/>
        <v>3.3680186170212769</v>
      </c>
      <c r="Q198" s="52"/>
      <c r="R198" s="52"/>
    </row>
    <row r="199" spans="1:18" x14ac:dyDescent="0.3">
      <c r="A199" s="8">
        <v>20191004</v>
      </c>
      <c r="B199" s="9">
        <v>102.08</v>
      </c>
      <c r="C199" s="9">
        <v>30.34</v>
      </c>
      <c r="D199" s="54">
        <f t="shared" si="4"/>
        <v>3.3645352669742912</v>
      </c>
      <c r="Q199" s="52"/>
      <c r="R199" s="52"/>
    </row>
    <row r="200" spans="1:18" x14ac:dyDescent="0.3">
      <c r="A200" s="8">
        <v>20191007</v>
      </c>
      <c r="B200" s="9">
        <v>101.33</v>
      </c>
      <c r="C200" s="9">
        <v>30.1</v>
      </c>
      <c r="D200" s="54">
        <f t="shared" si="4"/>
        <v>3.3664451827242523</v>
      </c>
      <c r="Q200" s="52"/>
      <c r="R200" s="52"/>
    </row>
    <row r="201" spans="1:18" x14ac:dyDescent="0.3">
      <c r="A201" s="8">
        <v>20191008</v>
      </c>
      <c r="B201" s="9">
        <v>101.2</v>
      </c>
      <c r="C201" s="9">
        <v>30.04</v>
      </c>
      <c r="D201" s="54">
        <f t="shared" ref="D201:D259" si="5">B201/C201</f>
        <v>3.3688415446071907</v>
      </c>
      <c r="Q201" s="52"/>
      <c r="R201" s="52"/>
    </row>
    <row r="202" spans="1:18" x14ac:dyDescent="0.3">
      <c r="A202" s="8">
        <v>20191009</v>
      </c>
      <c r="B202" s="9">
        <v>100.87</v>
      </c>
      <c r="C202" s="9">
        <v>30.02</v>
      </c>
      <c r="D202" s="54">
        <f t="shared" si="5"/>
        <v>3.3600932711525653</v>
      </c>
      <c r="Q202" s="52"/>
      <c r="R202" s="52"/>
    </row>
    <row r="203" spans="1:18" x14ac:dyDescent="0.3">
      <c r="A203" s="8">
        <v>20191010</v>
      </c>
      <c r="B203" s="9">
        <v>100.16</v>
      </c>
      <c r="C203" s="9">
        <v>29.74</v>
      </c>
      <c r="D203" s="54">
        <f t="shared" si="5"/>
        <v>3.3678547410894417</v>
      </c>
      <c r="Q203" s="52"/>
      <c r="R203" s="52"/>
    </row>
    <row r="204" spans="1:18" x14ac:dyDescent="0.3">
      <c r="A204" s="8">
        <v>20191011</v>
      </c>
      <c r="B204" s="9">
        <v>99.82</v>
      </c>
      <c r="C204" s="9">
        <v>29.69</v>
      </c>
      <c r="D204" s="54">
        <f t="shared" si="5"/>
        <v>3.3620747726507236</v>
      </c>
      <c r="Q204" s="52"/>
      <c r="R204" s="52"/>
    </row>
    <row r="205" spans="1:18" x14ac:dyDescent="0.3">
      <c r="A205" s="8">
        <v>20191014</v>
      </c>
      <c r="B205" s="9">
        <v>100.56</v>
      </c>
      <c r="C205" s="9">
        <v>29.84</v>
      </c>
      <c r="D205" s="54">
        <f t="shared" si="5"/>
        <v>3.3699731903485257</v>
      </c>
      <c r="Q205" s="52"/>
      <c r="R205" s="52"/>
    </row>
    <row r="206" spans="1:18" x14ac:dyDescent="0.3">
      <c r="A206" s="8">
        <v>20191015</v>
      </c>
      <c r="B206" s="9">
        <v>99.88</v>
      </c>
      <c r="C206" s="9">
        <v>29.68</v>
      </c>
      <c r="D206" s="54">
        <f t="shared" si="5"/>
        <v>3.3652291105121295</v>
      </c>
      <c r="Q206" s="52"/>
      <c r="R206" s="52"/>
    </row>
    <row r="207" spans="1:18" x14ac:dyDescent="0.3">
      <c r="A207" s="8">
        <v>20191016</v>
      </c>
      <c r="B207" s="9">
        <v>99.91</v>
      </c>
      <c r="C207" s="9">
        <v>29.7</v>
      </c>
      <c r="D207" s="54">
        <f t="shared" si="5"/>
        <v>3.3639730639730638</v>
      </c>
      <c r="Q207" s="52"/>
      <c r="R207" s="52"/>
    </row>
    <row r="208" spans="1:18" x14ac:dyDescent="0.3">
      <c r="A208" s="8">
        <v>20191017</v>
      </c>
      <c r="B208" s="9">
        <v>100.26</v>
      </c>
      <c r="C208" s="9">
        <v>29.72</v>
      </c>
      <c r="D208" s="54">
        <f t="shared" si="5"/>
        <v>3.3734858681022883</v>
      </c>
      <c r="Q208" s="52"/>
      <c r="R208" s="52"/>
    </row>
    <row r="209" spans="1:18" x14ac:dyDescent="0.3">
      <c r="A209" s="8">
        <v>20191018</v>
      </c>
      <c r="B209" s="9">
        <v>100.33</v>
      </c>
      <c r="C209" s="9">
        <v>29.8</v>
      </c>
      <c r="D209" s="54">
        <f t="shared" si="5"/>
        <v>3.3667785234899328</v>
      </c>
      <c r="Q209" s="52"/>
      <c r="R209" s="52"/>
    </row>
    <row r="210" spans="1:18" x14ac:dyDescent="0.3">
      <c r="A210" s="8">
        <v>20191021</v>
      </c>
      <c r="B210" s="9">
        <v>99.97</v>
      </c>
      <c r="C210" s="9">
        <v>29.69</v>
      </c>
      <c r="D210" s="54">
        <f t="shared" si="5"/>
        <v>3.3671269787807341</v>
      </c>
      <c r="Q210" s="52"/>
      <c r="R210" s="52"/>
    </row>
    <row r="211" spans="1:18" x14ac:dyDescent="0.3">
      <c r="A211" s="8">
        <v>20191022</v>
      </c>
      <c r="B211" s="9">
        <v>100.32</v>
      </c>
      <c r="C211" s="9">
        <v>29.77</v>
      </c>
      <c r="D211" s="54">
        <f t="shared" si="5"/>
        <v>3.3698354047699026</v>
      </c>
      <c r="Q211" s="52"/>
      <c r="R211" s="52"/>
    </row>
    <row r="212" spans="1:18" x14ac:dyDescent="0.3">
      <c r="A212" s="8">
        <v>20191023</v>
      </c>
      <c r="B212" s="9">
        <v>100.47</v>
      </c>
      <c r="C212" s="9">
        <v>29.83</v>
      </c>
      <c r="D212" s="54">
        <f t="shared" si="5"/>
        <v>3.3680858196446533</v>
      </c>
      <c r="Q212" s="52"/>
      <c r="R212" s="52"/>
    </row>
    <row r="213" spans="1:18" x14ac:dyDescent="0.3">
      <c r="A213" s="8">
        <v>20191024</v>
      </c>
      <c r="B213" s="9">
        <v>100.65</v>
      </c>
      <c r="C213" s="9">
        <v>29.88</v>
      </c>
      <c r="D213" s="54">
        <f t="shared" si="5"/>
        <v>3.3684738955823295</v>
      </c>
      <c r="Q213" s="52"/>
      <c r="R213" s="52"/>
    </row>
    <row r="214" spans="1:18" x14ac:dyDescent="0.3">
      <c r="A214" s="8">
        <v>20191025</v>
      </c>
      <c r="B214" s="9">
        <v>100.5</v>
      </c>
      <c r="C214" s="9">
        <v>29.81</v>
      </c>
      <c r="D214" s="54">
        <f t="shared" si="5"/>
        <v>3.3713518953371353</v>
      </c>
      <c r="Q214" s="52"/>
      <c r="R214" s="52"/>
    </row>
    <row r="215" spans="1:18" x14ac:dyDescent="0.3">
      <c r="A215" s="8">
        <v>20191028</v>
      </c>
      <c r="B215" s="9">
        <v>99.99</v>
      </c>
      <c r="C215" s="9">
        <v>29.7</v>
      </c>
      <c r="D215" s="54">
        <f t="shared" si="5"/>
        <v>3.3666666666666667</v>
      </c>
      <c r="Q215" s="52"/>
      <c r="R215" s="52"/>
    </row>
    <row r="216" spans="1:18" x14ac:dyDescent="0.3">
      <c r="A216" s="8">
        <v>20191029</v>
      </c>
      <c r="B216" s="9">
        <v>99.57</v>
      </c>
      <c r="C216" s="9">
        <v>29.58</v>
      </c>
      <c r="D216" s="54">
        <f t="shared" si="5"/>
        <v>3.3661257606490871</v>
      </c>
      <c r="Q216" s="52"/>
      <c r="R216" s="52"/>
    </row>
    <row r="217" spans="1:18" x14ac:dyDescent="0.3">
      <c r="A217" s="8">
        <v>20191030</v>
      </c>
      <c r="B217" s="9">
        <v>100.14</v>
      </c>
      <c r="C217" s="9">
        <v>29.76</v>
      </c>
      <c r="D217" s="54">
        <f t="shared" si="5"/>
        <v>3.3649193548387095</v>
      </c>
      <c r="Q217" s="52"/>
      <c r="R217" s="52"/>
    </row>
    <row r="218" spans="1:18" x14ac:dyDescent="0.3">
      <c r="A218" s="8">
        <v>20191031</v>
      </c>
      <c r="B218" s="9">
        <v>101.11</v>
      </c>
      <c r="C218" s="9">
        <v>30.03</v>
      </c>
      <c r="D218" s="54">
        <f t="shared" si="5"/>
        <v>3.3669663669663668</v>
      </c>
      <c r="Q218" s="52"/>
      <c r="R218" s="52"/>
    </row>
    <row r="219" spans="1:18" x14ac:dyDescent="0.3">
      <c r="A219" s="8">
        <v>20191101</v>
      </c>
      <c r="B219" s="9">
        <v>101</v>
      </c>
      <c r="C219" s="9">
        <v>29.97</v>
      </c>
      <c r="D219" s="54">
        <f t="shared" si="5"/>
        <v>3.3700367033700367</v>
      </c>
      <c r="Q219" s="52"/>
      <c r="R219" s="52"/>
    </row>
    <row r="220" spans="1:18" x14ac:dyDescent="0.3">
      <c r="A220" s="8">
        <v>20191104</v>
      </c>
      <c r="B220" s="9">
        <v>100.3</v>
      </c>
      <c r="C220" s="9">
        <v>29.73</v>
      </c>
      <c r="D220" s="54">
        <f t="shared" si="5"/>
        <v>3.3736966027581565</v>
      </c>
      <c r="Q220" s="52"/>
      <c r="R220" s="52"/>
    </row>
    <row r="221" spans="1:18" x14ac:dyDescent="0.3">
      <c r="A221" s="8">
        <v>20191105</v>
      </c>
      <c r="B221" s="9">
        <v>99.29</v>
      </c>
      <c r="C221" s="9">
        <v>29.49</v>
      </c>
      <c r="D221" s="54">
        <f t="shared" si="5"/>
        <v>3.3669040352661925</v>
      </c>
      <c r="Q221" s="52"/>
      <c r="R221" s="52"/>
    </row>
    <row r="222" spans="1:18" x14ac:dyDescent="0.3">
      <c r="A222" s="8">
        <v>20191106</v>
      </c>
      <c r="B222" s="9">
        <v>99.97</v>
      </c>
      <c r="C222" s="9">
        <v>29.69</v>
      </c>
      <c r="D222" s="54">
        <f t="shared" si="5"/>
        <v>3.3671269787807341</v>
      </c>
      <c r="Q222" s="52"/>
      <c r="R222" s="52"/>
    </row>
    <row r="223" spans="1:18" x14ac:dyDescent="0.3">
      <c r="A223" s="8">
        <v>20191107</v>
      </c>
      <c r="B223" s="9">
        <v>99.05</v>
      </c>
      <c r="C223" s="9">
        <v>29.39</v>
      </c>
      <c r="D223" s="54">
        <f t="shared" si="5"/>
        <v>3.3701939435182031</v>
      </c>
      <c r="Q223" s="52"/>
      <c r="R223" s="52"/>
    </row>
    <row r="224" spans="1:18" x14ac:dyDescent="0.3">
      <c r="A224" s="8">
        <v>20191108</v>
      </c>
      <c r="B224" s="9">
        <v>98.65</v>
      </c>
      <c r="C224" s="9">
        <v>29.3</v>
      </c>
      <c r="D224" s="54">
        <f t="shared" si="5"/>
        <v>3.3668941979522184</v>
      </c>
      <c r="Q224" s="52"/>
      <c r="R224" s="52"/>
    </row>
    <row r="225" spans="1:18" x14ac:dyDescent="0.3">
      <c r="A225" s="8">
        <v>20191111</v>
      </c>
      <c r="B225" s="9">
        <v>98.71</v>
      </c>
      <c r="C225" s="9">
        <v>29.33</v>
      </c>
      <c r="D225" s="54">
        <f t="shared" si="5"/>
        <v>3.3654960790998976</v>
      </c>
      <c r="Q225" s="52"/>
      <c r="R225" s="52"/>
    </row>
    <row r="226" spans="1:18" x14ac:dyDescent="0.3">
      <c r="A226" s="8">
        <v>20191112</v>
      </c>
      <c r="B226" s="9">
        <v>99</v>
      </c>
      <c r="C226" s="9">
        <v>29.36</v>
      </c>
      <c r="D226" s="54">
        <f t="shared" si="5"/>
        <v>3.3719346049046321</v>
      </c>
      <c r="Q226" s="52"/>
      <c r="R226" s="52"/>
    </row>
    <row r="227" spans="1:18" x14ac:dyDescent="0.3">
      <c r="A227" s="8">
        <v>20191113</v>
      </c>
      <c r="B227" s="9">
        <v>99.43</v>
      </c>
      <c r="C227" s="9">
        <v>29.46</v>
      </c>
      <c r="D227" s="54">
        <f t="shared" si="5"/>
        <v>3.3750848608282418</v>
      </c>
      <c r="Q227" s="52"/>
      <c r="R227" s="52"/>
    </row>
    <row r="228" spans="1:18" x14ac:dyDescent="0.3">
      <c r="A228" s="8">
        <v>20191114</v>
      </c>
      <c r="B228" s="9">
        <v>99.99</v>
      </c>
      <c r="C228" s="9">
        <v>29.71</v>
      </c>
      <c r="D228" s="54">
        <f t="shared" si="5"/>
        <v>3.36553349040727</v>
      </c>
      <c r="Q228" s="52"/>
      <c r="R228" s="52"/>
    </row>
    <row r="229" spans="1:18" x14ac:dyDescent="0.3">
      <c r="A229" s="8">
        <v>20191115</v>
      </c>
      <c r="B229" s="9">
        <v>100</v>
      </c>
      <c r="C229" s="9">
        <v>29.7</v>
      </c>
      <c r="D229" s="54">
        <f t="shared" si="5"/>
        <v>3.3670033670033672</v>
      </c>
      <c r="Q229" s="52"/>
      <c r="R229" s="52"/>
    </row>
    <row r="230" spans="1:18" x14ac:dyDescent="0.3">
      <c r="A230" s="8">
        <v>20191118</v>
      </c>
      <c r="B230" s="9">
        <v>100.29</v>
      </c>
      <c r="C230" s="9">
        <v>29.78</v>
      </c>
      <c r="D230" s="54">
        <f t="shared" si="5"/>
        <v>3.3676964405641372</v>
      </c>
      <c r="Q230" s="52"/>
      <c r="R230" s="52"/>
    </row>
    <row r="231" spans="1:18" x14ac:dyDescent="0.3">
      <c r="A231" s="8">
        <v>20191119</v>
      </c>
      <c r="B231" s="9">
        <v>100.68</v>
      </c>
      <c r="C231" s="9">
        <v>29.92</v>
      </c>
      <c r="D231" s="54">
        <f t="shared" si="5"/>
        <v>3.3649732620320858</v>
      </c>
      <c r="Q231" s="52"/>
      <c r="R231" s="52"/>
    </row>
    <row r="232" spans="1:18" x14ac:dyDescent="0.3">
      <c r="A232" s="8">
        <v>20191120</v>
      </c>
      <c r="B232" s="9">
        <v>101.08</v>
      </c>
      <c r="C232" s="9">
        <v>30.04</v>
      </c>
      <c r="D232" s="54">
        <f t="shared" si="5"/>
        <v>3.3648468708388815</v>
      </c>
      <c r="Q232" s="52"/>
      <c r="R232" s="52"/>
    </row>
    <row r="233" spans="1:18" x14ac:dyDescent="0.3">
      <c r="A233" s="8">
        <v>20191121</v>
      </c>
      <c r="B233" s="9">
        <v>100.58</v>
      </c>
      <c r="C233" s="9">
        <v>29.89</v>
      </c>
      <c r="D233" s="54">
        <f t="shared" si="5"/>
        <v>3.3650050184008027</v>
      </c>
      <c r="Q233" s="52"/>
      <c r="R233" s="52"/>
    </row>
    <row r="234" spans="1:18" x14ac:dyDescent="0.3">
      <c r="A234" s="8">
        <v>20191122</v>
      </c>
      <c r="B234" s="9">
        <v>100.96</v>
      </c>
      <c r="C234" s="9">
        <v>29.99</v>
      </c>
      <c r="D234" s="54">
        <f t="shared" si="5"/>
        <v>3.3664554851617203</v>
      </c>
      <c r="Q234" s="52"/>
      <c r="R234" s="52"/>
    </row>
    <row r="235" spans="1:18" x14ac:dyDescent="0.3">
      <c r="A235" s="8">
        <v>20191125</v>
      </c>
      <c r="B235" s="9">
        <v>101.47</v>
      </c>
      <c r="C235" s="9">
        <v>30.15</v>
      </c>
      <c r="D235" s="54">
        <f t="shared" si="5"/>
        <v>3.3655058043117747</v>
      </c>
      <c r="Q235" s="52"/>
      <c r="R235" s="52"/>
    </row>
    <row r="236" spans="1:18" x14ac:dyDescent="0.3">
      <c r="A236" s="8">
        <v>20191126</v>
      </c>
      <c r="B236" s="9">
        <v>101.95</v>
      </c>
      <c r="C236" s="9">
        <v>30.28</v>
      </c>
      <c r="D236" s="54">
        <f t="shared" si="5"/>
        <v>3.3669088507265523</v>
      </c>
      <c r="Q236" s="52"/>
      <c r="R236" s="52"/>
    </row>
    <row r="237" spans="1:18" x14ac:dyDescent="0.3">
      <c r="A237" s="8">
        <v>20191127</v>
      </c>
      <c r="B237" s="9">
        <v>102.03</v>
      </c>
      <c r="C237" s="9">
        <v>30.3</v>
      </c>
      <c r="D237" s="54">
        <f t="shared" si="5"/>
        <v>3.3673267326732672</v>
      </c>
      <c r="Q237" s="52"/>
      <c r="R237" s="52"/>
    </row>
    <row r="238" spans="1:18" x14ac:dyDescent="0.3">
      <c r="A238" s="8">
        <v>20191129</v>
      </c>
      <c r="B238" s="9">
        <v>101.81</v>
      </c>
      <c r="C238" s="9">
        <v>30.22</v>
      </c>
      <c r="D238" s="54">
        <f t="shared" si="5"/>
        <v>3.3689609530112512</v>
      </c>
      <c r="Q238" s="52"/>
      <c r="R238" s="52"/>
    </row>
    <row r="239" spans="1:18" x14ac:dyDescent="0.3">
      <c r="A239" s="8">
        <v>20191202</v>
      </c>
      <c r="B239" s="9">
        <v>100.68</v>
      </c>
      <c r="C239" s="9">
        <v>29.85</v>
      </c>
      <c r="D239" s="54">
        <f t="shared" si="5"/>
        <v>3.3728643216080401</v>
      </c>
      <c r="Q239" s="52"/>
      <c r="R239" s="52"/>
    </row>
    <row r="240" spans="1:18" x14ac:dyDescent="0.3">
      <c r="A240" s="8">
        <v>20191203</v>
      </c>
      <c r="B240" s="9">
        <v>101.72</v>
      </c>
      <c r="C240" s="9">
        <v>30.24</v>
      </c>
      <c r="D240" s="54">
        <f t="shared" si="5"/>
        <v>3.3637566137566139</v>
      </c>
      <c r="Q240" s="52"/>
      <c r="R240" s="52"/>
    </row>
    <row r="241" spans="1:18" x14ac:dyDescent="0.3">
      <c r="A241" s="8">
        <v>20191204</v>
      </c>
      <c r="B241" s="9">
        <v>101.48</v>
      </c>
      <c r="C241" s="9">
        <v>30.14</v>
      </c>
      <c r="D241" s="54">
        <f t="shared" si="5"/>
        <v>3.3669542136695423</v>
      </c>
      <c r="Q241" s="52"/>
      <c r="R241" s="52"/>
    </row>
    <row r="242" spans="1:18" x14ac:dyDescent="0.3">
      <c r="A242" s="8">
        <v>20191205</v>
      </c>
      <c r="B242" s="9">
        <v>101.35</v>
      </c>
      <c r="C242" s="9">
        <v>30.1</v>
      </c>
      <c r="D242" s="54">
        <f t="shared" si="5"/>
        <v>3.3671096345514946</v>
      </c>
      <c r="Q242" s="52"/>
      <c r="R242" s="52"/>
    </row>
    <row r="243" spans="1:18" x14ac:dyDescent="0.3">
      <c r="A243" s="8">
        <v>20191206</v>
      </c>
      <c r="B243" s="9">
        <v>101.29</v>
      </c>
      <c r="C243" s="9">
        <v>30.1</v>
      </c>
      <c r="D243" s="54">
        <f t="shared" si="5"/>
        <v>3.3651162790697673</v>
      </c>
      <c r="Q243" s="52"/>
      <c r="R243" s="52"/>
    </row>
    <row r="244" spans="1:18" x14ac:dyDescent="0.3">
      <c r="A244" s="8">
        <v>20191209</v>
      </c>
      <c r="B244" s="9">
        <v>101.43</v>
      </c>
      <c r="C244" s="9">
        <v>30.1</v>
      </c>
      <c r="D244" s="54">
        <f t="shared" si="5"/>
        <v>3.3697674418604651</v>
      </c>
      <c r="Q244" s="52"/>
      <c r="R244" s="52"/>
    </row>
    <row r="245" spans="1:18" x14ac:dyDescent="0.3">
      <c r="A245" s="8">
        <v>20191210</v>
      </c>
      <c r="B245" s="9">
        <v>101.31</v>
      </c>
      <c r="C245" s="9">
        <v>30.08</v>
      </c>
      <c r="D245" s="54">
        <f t="shared" si="5"/>
        <v>3.3680186170212769</v>
      </c>
      <c r="Q245" s="52"/>
      <c r="R245" s="52"/>
    </row>
    <row r="246" spans="1:18" x14ac:dyDescent="0.3">
      <c r="A246" s="8">
        <v>20191211</v>
      </c>
      <c r="B246" s="9">
        <v>101.95</v>
      </c>
      <c r="C246" s="9">
        <v>30.28</v>
      </c>
      <c r="D246" s="54">
        <f t="shared" si="5"/>
        <v>3.3669088507265523</v>
      </c>
      <c r="Q246" s="52"/>
      <c r="R246" s="52"/>
    </row>
    <row r="247" spans="1:18" x14ac:dyDescent="0.3">
      <c r="A247" s="8">
        <v>20191212</v>
      </c>
      <c r="B247" s="9">
        <v>101.31</v>
      </c>
      <c r="C247" s="9">
        <v>30.09</v>
      </c>
      <c r="D247" s="54">
        <f t="shared" si="5"/>
        <v>3.366899302093719</v>
      </c>
      <c r="Q247" s="52"/>
      <c r="R247" s="52"/>
    </row>
    <row r="248" spans="1:18" x14ac:dyDescent="0.3">
      <c r="A248" s="8">
        <v>20191213</v>
      </c>
      <c r="B248" s="9">
        <v>102.14</v>
      </c>
      <c r="C248" s="9">
        <v>30.35</v>
      </c>
      <c r="D248" s="54">
        <f t="shared" si="5"/>
        <v>3.3654036243822074</v>
      </c>
      <c r="Q248" s="52"/>
      <c r="R248" s="52"/>
    </row>
    <row r="249" spans="1:18" x14ac:dyDescent="0.3">
      <c r="A249" s="8">
        <v>20191216</v>
      </c>
      <c r="B249" s="9">
        <v>101.81</v>
      </c>
      <c r="C249" s="9">
        <v>30.25</v>
      </c>
      <c r="D249" s="54">
        <f t="shared" si="5"/>
        <v>3.3656198347107438</v>
      </c>
      <c r="Q249" s="52"/>
      <c r="R249" s="52"/>
    </row>
    <row r="250" spans="1:18" x14ac:dyDescent="0.3">
      <c r="A250" s="8">
        <v>20191217</v>
      </c>
      <c r="B250" s="9">
        <v>101.68</v>
      </c>
      <c r="C250" s="9">
        <v>30.22</v>
      </c>
      <c r="D250" s="54">
        <f t="shared" si="5"/>
        <v>3.3646591661151559</v>
      </c>
      <c r="Q250" s="52"/>
      <c r="R250" s="52"/>
    </row>
    <row r="251" spans="1:18" x14ac:dyDescent="0.3">
      <c r="A251" s="8">
        <v>20191218</v>
      </c>
      <c r="B251" s="9">
        <v>101.35</v>
      </c>
      <c r="C251" s="9">
        <v>30.1</v>
      </c>
      <c r="D251" s="54">
        <f t="shared" si="5"/>
        <v>3.3671096345514946</v>
      </c>
      <c r="Q251" s="52"/>
      <c r="R251" s="52"/>
    </row>
    <row r="252" spans="1:18" x14ac:dyDescent="0.3">
      <c r="A252" s="8">
        <v>20191219</v>
      </c>
      <c r="B252" s="9">
        <v>101.59</v>
      </c>
      <c r="C252" s="9">
        <v>30.2</v>
      </c>
      <c r="D252" s="54">
        <f t="shared" si="5"/>
        <v>3.3639072847682123</v>
      </c>
      <c r="Q252" s="52"/>
      <c r="R252" s="52"/>
    </row>
    <row r="253" spans="1:18" x14ac:dyDescent="0.3">
      <c r="A253" s="8">
        <v>20191220</v>
      </c>
      <c r="B253" s="9">
        <v>101.7</v>
      </c>
      <c r="C253" s="9">
        <v>30.14</v>
      </c>
      <c r="D253" s="54">
        <f t="shared" si="5"/>
        <v>3.3742534837425349</v>
      </c>
      <c r="Q253" s="52"/>
      <c r="R253" s="52"/>
    </row>
    <row r="254" spans="1:18" x14ac:dyDescent="0.3">
      <c r="A254" s="8">
        <v>20191223</v>
      </c>
      <c r="B254" s="9">
        <v>101.39</v>
      </c>
      <c r="C254" s="9">
        <v>30.13</v>
      </c>
      <c r="D254" s="54">
        <f t="shared" si="5"/>
        <v>3.3650846332558912</v>
      </c>
      <c r="Q254" s="52"/>
      <c r="R254" s="52"/>
    </row>
    <row r="255" spans="1:18" x14ac:dyDescent="0.3">
      <c r="A255" s="8">
        <v>20191224</v>
      </c>
      <c r="B255" s="9">
        <v>101.75</v>
      </c>
      <c r="C255" s="9">
        <v>30.18</v>
      </c>
      <c r="D255" s="54">
        <f t="shared" si="5"/>
        <v>3.3714380384360503</v>
      </c>
      <c r="Q255" s="52"/>
      <c r="R255" s="52"/>
    </row>
    <row r="256" spans="1:18" x14ac:dyDescent="0.3">
      <c r="A256" s="8">
        <v>20191226</v>
      </c>
      <c r="B256" s="9">
        <v>101.7</v>
      </c>
      <c r="C256" s="9">
        <v>30.25</v>
      </c>
      <c r="D256" s="54">
        <f t="shared" si="5"/>
        <v>3.3619834710743803</v>
      </c>
      <c r="Q256" s="52"/>
      <c r="R256" s="52"/>
    </row>
    <row r="257" spans="1:18" x14ac:dyDescent="0.3">
      <c r="A257" s="8">
        <v>20191227</v>
      </c>
      <c r="B257" s="9">
        <v>101.88</v>
      </c>
      <c r="C257" s="9">
        <v>30.31</v>
      </c>
      <c r="D257" s="54">
        <f t="shared" si="5"/>
        <v>3.3612669086110194</v>
      </c>
      <c r="Q257" s="52"/>
      <c r="R257" s="52"/>
    </row>
    <row r="258" spans="1:18" x14ac:dyDescent="0.3">
      <c r="A258" s="8">
        <v>20191230</v>
      </c>
      <c r="B258" s="9">
        <v>101.97</v>
      </c>
      <c r="C258" s="9">
        <v>30.3</v>
      </c>
      <c r="D258" s="54">
        <f t="shared" si="5"/>
        <v>3.3653465346534652</v>
      </c>
      <c r="Q258" s="52"/>
      <c r="R258" s="52"/>
    </row>
    <row r="259" spans="1:18" ht="15" thickBot="1" x14ac:dyDescent="0.35">
      <c r="A259" s="11">
        <v>20191231</v>
      </c>
      <c r="B259" s="12">
        <v>101.36</v>
      </c>
      <c r="C259" s="12">
        <v>30.11</v>
      </c>
      <c r="D259" s="55">
        <f t="shared" si="5"/>
        <v>3.3663234805712388</v>
      </c>
      <c r="Q259" s="52"/>
      <c r="R259" s="52"/>
    </row>
  </sheetData>
  <mergeCells count="7">
    <mergeCell ref="A1:A2"/>
    <mergeCell ref="A3:A4"/>
    <mergeCell ref="C1:E1"/>
    <mergeCell ref="C2:E2"/>
    <mergeCell ref="C3:E3"/>
    <mergeCell ref="C4:E4"/>
    <mergeCell ref="A6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A4AA-7035-45E0-B120-39FF9AFA82C7}">
  <dimension ref="A1:R259"/>
  <sheetViews>
    <sheetView workbookViewId="0">
      <selection activeCell="L22" sqref="L22"/>
    </sheetView>
  </sheetViews>
  <sheetFormatPr defaultRowHeight="14.4" x14ac:dyDescent="0.3"/>
  <cols>
    <col min="2" max="2" width="12.44140625" bestFit="1" customWidth="1"/>
    <col min="4" max="4" width="11.44140625" bestFit="1" customWidth="1"/>
    <col min="5" max="5" width="17.109375" customWidth="1"/>
    <col min="6" max="6" width="9.77734375" customWidth="1"/>
    <col min="8" max="8" width="13.5546875" customWidth="1"/>
    <col min="9" max="9" width="7.6640625" style="1" bestFit="1" customWidth="1"/>
    <col min="10" max="10" width="18.88671875" style="1" bestFit="1" customWidth="1"/>
    <col min="11" max="11" width="8.6640625" style="1" bestFit="1" customWidth="1"/>
    <col min="12" max="12" width="12.44140625" style="1" bestFit="1" customWidth="1"/>
    <col min="13" max="13" width="12.33203125" bestFit="1" customWidth="1"/>
    <col min="14" max="14" width="12.44140625" bestFit="1" customWidth="1"/>
    <col min="15" max="15" width="14.6640625" bestFit="1" customWidth="1"/>
    <col min="20" max="20" width="7.109375" bestFit="1" customWidth="1"/>
  </cols>
  <sheetData>
    <row r="1" spans="1:18" x14ac:dyDescent="0.3">
      <c r="A1" s="48" t="s">
        <v>9</v>
      </c>
      <c r="B1" s="3" t="s">
        <v>26</v>
      </c>
      <c r="C1" s="44" t="s">
        <v>48</v>
      </c>
      <c r="D1" s="44"/>
      <c r="E1" s="45"/>
      <c r="F1" s="53"/>
      <c r="H1" s="2" t="s">
        <v>37</v>
      </c>
      <c r="I1" s="18"/>
      <c r="J1" s="18"/>
      <c r="K1" s="18"/>
      <c r="L1" s="18"/>
      <c r="M1" s="3"/>
      <c r="N1" s="3"/>
      <c r="O1" s="4"/>
    </row>
    <row r="2" spans="1:18" ht="15" thickBot="1" x14ac:dyDescent="0.35">
      <c r="A2" s="49"/>
      <c r="B2" s="13" t="s">
        <v>27</v>
      </c>
      <c r="C2" s="50" t="s">
        <v>49</v>
      </c>
      <c r="D2" s="50"/>
      <c r="E2" s="51"/>
      <c r="F2" s="53"/>
      <c r="H2" s="8" t="s">
        <v>50</v>
      </c>
      <c r="I2" s="9"/>
      <c r="J2" s="9"/>
      <c r="K2" s="9"/>
      <c r="L2" s="9"/>
      <c r="O2" s="14"/>
    </row>
    <row r="3" spans="1:18" x14ac:dyDescent="0.3">
      <c r="A3" s="48" t="s">
        <v>61</v>
      </c>
      <c r="B3" s="3" t="s">
        <v>26</v>
      </c>
      <c r="C3" s="44" t="s">
        <v>64</v>
      </c>
      <c r="D3" s="44"/>
      <c r="E3" s="45"/>
      <c r="F3" s="53"/>
      <c r="H3" s="8" t="s">
        <v>39</v>
      </c>
      <c r="I3" s="9"/>
      <c r="J3" s="9"/>
      <c r="K3" s="9"/>
      <c r="L3" s="9"/>
      <c r="O3" s="14"/>
    </row>
    <row r="4" spans="1:18" ht="15" thickBot="1" x14ac:dyDescent="0.35">
      <c r="A4" s="49"/>
      <c r="B4" s="13" t="s">
        <v>27</v>
      </c>
      <c r="C4" s="50" t="s">
        <v>49</v>
      </c>
      <c r="D4" s="50"/>
      <c r="E4" s="51"/>
      <c r="F4" s="53"/>
      <c r="H4" s="8" t="s">
        <v>65</v>
      </c>
      <c r="I4" s="9"/>
      <c r="J4" s="9"/>
      <c r="K4" s="9"/>
      <c r="L4" s="9"/>
      <c r="O4" s="14"/>
    </row>
    <row r="5" spans="1:18" ht="15" thickBot="1" x14ac:dyDescent="0.35">
      <c r="H5" s="8" t="s">
        <v>84</v>
      </c>
      <c r="I5" s="9"/>
      <c r="J5" s="9"/>
      <c r="K5" s="56">
        <f>F11</f>
        <v>4.1202099584186946</v>
      </c>
      <c r="L5" s="57" t="s">
        <v>75</v>
      </c>
      <c r="M5" s="52">
        <f>L14</f>
        <v>25.64</v>
      </c>
      <c r="N5" s="25" t="s">
        <v>76</v>
      </c>
      <c r="O5" s="10">
        <f>K5*M5</f>
        <v>105.64218333385533</v>
      </c>
    </row>
    <row r="6" spans="1:18" x14ac:dyDescent="0.3">
      <c r="A6" s="41" t="s">
        <v>28</v>
      </c>
      <c r="B6" s="42"/>
      <c r="C6" s="42"/>
      <c r="D6" s="43"/>
      <c r="E6" s="16" t="s">
        <v>29</v>
      </c>
      <c r="F6" s="4"/>
      <c r="H6" s="8" t="s">
        <v>85</v>
      </c>
      <c r="I6" s="9"/>
      <c r="J6" s="9"/>
      <c r="K6" s="9">
        <f>L13-O5</f>
        <v>1.9431642601446697</v>
      </c>
      <c r="L6" s="9"/>
      <c r="O6" s="14"/>
    </row>
    <row r="7" spans="1:18" x14ac:dyDescent="0.3">
      <c r="A7" s="5" t="s">
        <v>21</v>
      </c>
      <c r="B7" s="6" t="s">
        <v>9</v>
      </c>
      <c r="C7" s="6" t="s">
        <v>61</v>
      </c>
      <c r="D7" s="7" t="s">
        <v>72</v>
      </c>
      <c r="E7" s="30" t="s">
        <v>30</v>
      </c>
      <c r="F7" s="29">
        <f>CORREL(C8:C259,B8:B259)</f>
        <v>0.99435017481339627</v>
      </c>
      <c r="H7" s="8" t="s">
        <v>78</v>
      </c>
      <c r="I7" s="9"/>
      <c r="J7" s="9"/>
      <c r="K7" s="9">
        <f>K6</f>
        <v>1.9431642601446697</v>
      </c>
      <c r="L7" s="57" t="s">
        <v>75</v>
      </c>
      <c r="M7">
        <f>-K13</f>
        <v>374</v>
      </c>
      <c r="N7" s="25" t="s">
        <v>76</v>
      </c>
      <c r="O7" s="10">
        <f>K7*M7</f>
        <v>726.74343329410647</v>
      </c>
    </row>
    <row r="8" spans="1:18" x14ac:dyDescent="0.3">
      <c r="A8" s="8">
        <v>20190102</v>
      </c>
      <c r="B8" s="9">
        <v>104.84</v>
      </c>
      <c r="C8" s="9">
        <v>25.47</v>
      </c>
      <c r="D8" s="54">
        <f>B8/C8</f>
        <v>4.1162151550844133</v>
      </c>
      <c r="E8" s="8"/>
      <c r="F8" s="14"/>
      <c r="H8" s="8" t="s">
        <v>81</v>
      </c>
      <c r="I8" s="9"/>
      <c r="J8" s="9"/>
      <c r="K8" s="9"/>
      <c r="L8" s="9"/>
      <c r="M8" s="58">
        <f>O17/O7</f>
        <v>0.76988431623512366</v>
      </c>
      <c r="N8" t="s">
        <v>82</v>
      </c>
      <c r="O8" s="14"/>
    </row>
    <row r="9" spans="1:18" ht="15" thickBot="1" x14ac:dyDescent="0.35">
      <c r="A9" s="8">
        <v>20190103</v>
      </c>
      <c r="B9" s="9">
        <v>105.23</v>
      </c>
      <c r="C9" s="9">
        <v>25.57</v>
      </c>
      <c r="D9" s="54">
        <f t="shared" ref="D9:D72" si="0">B9/C9</f>
        <v>4.1153695737192022</v>
      </c>
      <c r="E9" s="8" t="s">
        <v>67</v>
      </c>
      <c r="F9" s="54">
        <f>MAX(D8:D259)</f>
        <v>4.1386441976254309</v>
      </c>
      <c r="H9" s="11" t="s">
        <v>86</v>
      </c>
      <c r="I9" s="12"/>
      <c r="J9" s="12"/>
      <c r="K9" s="12"/>
      <c r="L9" s="12"/>
      <c r="M9" s="13"/>
      <c r="N9" s="13"/>
      <c r="O9" s="33"/>
    </row>
    <row r="10" spans="1:18" ht="15" thickBot="1" x14ac:dyDescent="0.35">
      <c r="A10" s="8">
        <v>20190104</v>
      </c>
      <c r="B10" s="9">
        <v>104.91</v>
      </c>
      <c r="C10" s="9">
        <v>25.53</v>
      </c>
      <c r="D10" s="54">
        <f t="shared" si="0"/>
        <v>4.1092831962397174</v>
      </c>
      <c r="E10" s="8" t="s">
        <v>68</v>
      </c>
      <c r="F10" s="54">
        <f>MIN(D8:D259)</f>
        <v>4.1092831962397174</v>
      </c>
    </row>
    <row r="11" spans="1:18" x14ac:dyDescent="0.3">
      <c r="A11" s="8">
        <v>20190107</v>
      </c>
      <c r="B11" s="9">
        <v>104.78</v>
      </c>
      <c r="C11" s="9">
        <v>25.47</v>
      </c>
      <c r="D11" s="54">
        <f t="shared" si="0"/>
        <v>4.1138594424813508</v>
      </c>
      <c r="E11" s="8" t="s">
        <v>69</v>
      </c>
      <c r="F11" s="54">
        <f>AVERAGE(D8:D259)</f>
        <v>4.1202099584186946</v>
      </c>
      <c r="H11" s="2" t="s">
        <v>31</v>
      </c>
      <c r="I11" s="3"/>
      <c r="J11" s="3"/>
      <c r="K11" s="3"/>
      <c r="L11" s="18"/>
      <c r="M11" s="18"/>
      <c r="N11" s="18"/>
      <c r="O11" s="19"/>
    </row>
    <row r="12" spans="1:18" x14ac:dyDescent="0.3">
      <c r="A12" s="8">
        <v>20190108</v>
      </c>
      <c r="B12" s="9">
        <v>104.7</v>
      </c>
      <c r="C12" s="9">
        <v>25.44</v>
      </c>
      <c r="D12" s="54">
        <f t="shared" si="0"/>
        <v>4.1155660377358494</v>
      </c>
      <c r="E12" s="8"/>
      <c r="F12" s="14"/>
      <c r="H12" s="20" t="s">
        <v>34</v>
      </c>
      <c r="I12" s="21" t="s">
        <v>0</v>
      </c>
      <c r="J12" s="21" t="s">
        <v>1</v>
      </c>
      <c r="K12" s="21" t="s">
        <v>2</v>
      </c>
      <c r="L12" s="22" t="s">
        <v>35</v>
      </c>
      <c r="M12" s="22" t="s">
        <v>3</v>
      </c>
      <c r="N12" s="22" t="s">
        <v>4</v>
      </c>
      <c r="O12" s="23" t="s">
        <v>36</v>
      </c>
    </row>
    <row r="13" spans="1:18" ht="15" thickBot="1" x14ac:dyDescent="0.35">
      <c r="A13" s="8">
        <v>20190109</v>
      </c>
      <c r="B13" s="9">
        <v>104.64</v>
      </c>
      <c r="C13" s="9">
        <v>25.46</v>
      </c>
      <c r="D13" s="54">
        <f t="shared" si="0"/>
        <v>4.1099764336213669</v>
      </c>
      <c r="E13" s="11" t="s">
        <v>73</v>
      </c>
      <c r="F13" s="55">
        <f>-K14/K13</f>
        <v>4.1390374331550799</v>
      </c>
      <c r="H13" s="24" t="s">
        <v>32</v>
      </c>
      <c r="I13" s="25" t="s">
        <v>9</v>
      </c>
      <c r="J13" t="s">
        <v>60</v>
      </c>
      <c r="K13">
        <v>-374</v>
      </c>
      <c r="L13" s="32">
        <v>107.585347594</v>
      </c>
      <c r="M13" s="9">
        <f>-K13*L13</f>
        <v>40236.920000156002</v>
      </c>
      <c r="N13" s="1">
        <v>-2.8037419319999999</v>
      </c>
      <c r="O13" s="26">
        <f>+M13+N13</f>
        <v>40234.116258223999</v>
      </c>
    </row>
    <row r="14" spans="1:18" x14ac:dyDescent="0.3">
      <c r="A14" s="8">
        <v>20190110</v>
      </c>
      <c r="B14" s="9">
        <v>104.56</v>
      </c>
      <c r="C14" s="9">
        <v>25.43</v>
      </c>
      <c r="D14" s="54">
        <f t="shared" si="0"/>
        <v>4.1116791191506099</v>
      </c>
      <c r="H14" s="24" t="s">
        <v>32</v>
      </c>
      <c r="I14" s="25" t="s">
        <v>61</v>
      </c>
      <c r="J14" t="s">
        <v>60</v>
      </c>
      <c r="K14" s="38">
        <v>1548</v>
      </c>
      <c r="L14" s="31">
        <v>25.64</v>
      </c>
      <c r="M14" s="9">
        <f t="shared" ref="M14:M16" si="1">-K14*L14</f>
        <v>-39690.720000000001</v>
      </c>
      <c r="N14" s="1">
        <v>-7.74</v>
      </c>
      <c r="O14" s="26">
        <f t="shared" ref="O14:O16" si="2">+M14+N14</f>
        <v>-39698.46</v>
      </c>
      <c r="Q14" s="52"/>
      <c r="R14" s="52"/>
    </row>
    <row r="15" spans="1:18" x14ac:dyDescent="0.3">
      <c r="A15" s="8">
        <v>20190111</v>
      </c>
      <c r="B15" s="9">
        <v>104.79</v>
      </c>
      <c r="C15" s="9">
        <v>25.47</v>
      </c>
      <c r="D15" s="54">
        <f t="shared" si="0"/>
        <v>4.1142520612485285</v>
      </c>
      <c r="H15" s="24" t="s">
        <v>33</v>
      </c>
      <c r="I15" s="25" t="s">
        <v>9</v>
      </c>
      <c r="J15" t="s">
        <v>62</v>
      </c>
      <c r="K15">
        <v>374</v>
      </c>
      <c r="L15" s="39">
        <v>108.03</v>
      </c>
      <c r="M15" s="9">
        <f t="shared" si="1"/>
        <v>-40403.22</v>
      </c>
      <c r="N15" s="1">
        <v>-1.87</v>
      </c>
      <c r="O15" s="26">
        <f t="shared" si="2"/>
        <v>-40405.090000000004</v>
      </c>
      <c r="Q15" s="52"/>
      <c r="R15" s="52"/>
    </row>
    <row r="16" spans="1:18" ht="16.8" thickBot="1" x14ac:dyDescent="0.5">
      <c r="A16" s="8">
        <v>20190114</v>
      </c>
      <c r="B16" s="9">
        <v>104.83</v>
      </c>
      <c r="C16" s="9">
        <v>25.5</v>
      </c>
      <c r="D16" s="54">
        <f t="shared" si="0"/>
        <v>4.1109803921568631</v>
      </c>
      <c r="H16" s="24" t="s">
        <v>33</v>
      </c>
      <c r="I16" s="25" t="s">
        <v>61</v>
      </c>
      <c r="J16" s="17" t="s">
        <v>62</v>
      </c>
      <c r="K16" s="17">
        <v>-1548</v>
      </c>
      <c r="L16" s="40">
        <v>26.122583979000002</v>
      </c>
      <c r="M16" s="9">
        <f t="shared" si="1"/>
        <v>40437.759999492002</v>
      </c>
      <c r="N16" s="1">
        <v>-8.8178864959999999</v>
      </c>
      <c r="O16" s="27">
        <f t="shared" si="2"/>
        <v>40428.942112996003</v>
      </c>
      <c r="Q16" s="52"/>
      <c r="R16" s="52"/>
    </row>
    <row r="17" spans="1:18" ht="15" thickBot="1" x14ac:dyDescent="0.35">
      <c r="A17" s="8">
        <v>20190115</v>
      </c>
      <c r="B17" s="9">
        <v>104.86</v>
      </c>
      <c r="C17" s="9">
        <v>25.49</v>
      </c>
      <c r="D17" s="54">
        <f t="shared" si="0"/>
        <v>4.1137701059238916</v>
      </c>
      <c r="H17" s="11"/>
      <c r="I17" s="13"/>
      <c r="J17" s="34" t="s">
        <v>63</v>
      </c>
      <c r="K17" s="13">
        <f>SUM(K13:K16)</f>
        <v>0</v>
      </c>
      <c r="L17" s="12"/>
      <c r="M17" s="12"/>
      <c r="N17" s="12"/>
      <c r="O17" s="37">
        <f>SUM(O13:O16)</f>
        <v>559.50837121999939</v>
      </c>
      <c r="Q17" s="52"/>
      <c r="R17" s="52"/>
    </row>
    <row r="18" spans="1:18" x14ac:dyDescent="0.3">
      <c r="A18" s="8">
        <v>20190116</v>
      </c>
      <c r="B18" s="9">
        <v>104.81</v>
      </c>
      <c r="C18" s="9">
        <v>25.48</v>
      </c>
      <c r="D18" s="54">
        <f t="shared" si="0"/>
        <v>4.1134222919937207</v>
      </c>
      <c r="Q18" s="52"/>
      <c r="R18" s="52"/>
    </row>
    <row r="19" spans="1:18" x14ac:dyDescent="0.3">
      <c r="A19" s="8">
        <v>20190117</v>
      </c>
      <c r="B19" s="9">
        <v>104.78</v>
      </c>
      <c r="C19" s="9">
        <v>25.43</v>
      </c>
      <c r="D19" s="54">
        <f t="shared" si="0"/>
        <v>4.1203303185214315</v>
      </c>
      <c r="Q19" s="52"/>
      <c r="R19" s="52"/>
    </row>
    <row r="20" spans="1:18" x14ac:dyDescent="0.3">
      <c r="A20" s="8">
        <v>20190118</v>
      </c>
      <c r="B20" s="9">
        <v>104.63</v>
      </c>
      <c r="C20" s="9">
        <v>25.43</v>
      </c>
      <c r="D20" s="54">
        <f t="shared" si="0"/>
        <v>4.1144317734958706</v>
      </c>
      <c r="Q20" s="52"/>
      <c r="R20" s="52"/>
    </row>
    <row r="21" spans="1:18" x14ac:dyDescent="0.3">
      <c r="A21" s="8">
        <v>20190122</v>
      </c>
      <c r="B21" s="9">
        <v>104.67</v>
      </c>
      <c r="C21" s="9">
        <v>25.39</v>
      </c>
      <c r="D21" s="54">
        <f t="shared" si="0"/>
        <v>4.122489168964159</v>
      </c>
      <c r="E21" s="15"/>
      <c r="F21" s="15"/>
      <c r="I21"/>
      <c r="J21"/>
      <c r="K21"/>
      <c r="L21"/>
      <c r="Q21" s="52"/>
      <c r="R21" s="52"/>
    </row>
    <row r="22" spans="1:18" x14ac:dyDescent="0.3">
      <c r="A22" s="8">
        <v>20190123</v>
      </c>
      <c r="B22" s="9">
        <v>104.6</v>
      </c>
      <c r="C22" s="9">
        <v>25.45</v>
      </c>
      <c r="D22" s="54">
        <f t="shared" si="0"/>
        <v>4.1100196463654219</v>
      </c>
      <c r="E22" s="15"/>
      <c r="F22" s="15"/>
      <c r="Q22" s="52"/>
      <c r="R22" s="52"/>
    </row>
    <row r="23" spans="1:18" x14ac:dyDescent="0.3">
      <c r="A23" s="8">
        <v>20190124</v>
      </c>
      <c r="B23" s="9">
        <v>104.76</v>
      </c>
      <c r="C23" s="9">
        <v>25.45</v>
      </c>
      <c r="D23" s="54">
        <f t="shared" si="0"/>
        <v>4.1163064833005896</v>
      </c>
      <c r="E23" s="15"/>
      <c r="F23" s="15"/>
      <c r="Q23" s="52"/>
      <c r="R23" s="52"/>
    </row>
    <row r="24" spans="1:18" x14ac:dyDescent="0.3">
      <c r="A24" s="8">
        <v>20190125</v>
      </c>
      <c r="B24" s="9">
        <v>104.71</v>
      </c>
      <c r="C24" s="9">
        <v>25.44</v>
      </c>
      <c r="D24" s="54">
        <f t="shared" si="0"/>
        <v>4.1159591194968552</v>
      </c>
      <c r="E24" s="15"/>
      <c r="F24" s="15"/>
      <c r="Q24" s="52"/>
      <c r="R24" s="52"/>
    </row>
    <row r="25" spans="1:18" x14ac:dyDescent="0.3">
      <c r="A25" s="8">
        <v>20190128</v>
      </c>
      <c r="B25" s="9">
        <v>104.74</v>
      </c>
      <c r="C25" s="9">
        <v>25.44</v>
      </c>
      <c r="D25" s="54">
        <f t="shared" si="0"/>
        <v>4.1171383647798736</v>
      </c>
      <c r="E25" s="15"/>
      <c r="F25" s="15"/>
      <c r="Q25" s="52"/>
      <c r="R25" s="52"/>
    </row>
    <row r="26" spans="1:18" x14ac:dyDescent="0.3">
      <c r="A26" s="8">
        <v>20190129</v>
      </c>
      <c r="B26" s="9">
        <v>104.95</v>
      </c>
      <c r="C26" s="9">
        <v>25.49</v>
      </c>
      <c r="D26" s="54">
        <f t="shared" si="0"/>
        <v>4.1173009023146339</v>
      </c>
      <c r="E26" s="15"/>
      <c r="F26" s="15"/>
      <c r="Q26" s="52"/>
      <c r="R26" s="52"/>
    </row>
    <row r="27" spans="1:18" x14ac:dyDescent="0.3">
      <c r="A27" s="8">
        <v>20190130</v>
      </c>
      <c r="B27" s="9">
        <v>105.21</v>
      </c>
      <c r="C27" s="9">
        <v>25.56</v>
      </c>
      <c r="D27" s="54">
        <f t="shared" si="0"/>
        <v>4.1161971830985919</v>
      </c>
      <c r="E27" s="15"/>
      <c r="F27" s="15"/>
      <c r="Q27" s="52"/>
      <c r="R27" s="52"/>
    </row>
    <row r="28" spans="1:18" x14ac:dyDescent="0.3">
      <c r="A28" s="8">
        <v>20190131</v>
      </c>
      <c r="B28" s="9">
        <v>105.49</v>
      </c>
      <c r="C28" s="9">
        <v>25.62</v>
      </c>
      <c r="D28" s="54">
        <f t="shared" si="0"/>
        <v>4.1174863387978142</v>
      </c>
      <c r="E28" s="15"/>
      <c r="F28" s="15"/>
      <c r="Q28" s="52"/>
      <c r="R28" s="52"/>
    </row>
    <row r="29" spans="1:18" x14ac:dyDescent="0.3">
      <c r="A29" s="8">
        <v>20190201</v>
      </c>
      <c r="B29" s="9">
        <v>104.94</v>
      </c>
      <c r="C29" s="9">
        <v>25.46</v>
      </c>
      <c r="D29" s="54">
        <f t="shared" si="0"/>
        <v>4.1217596229379421</v>
      </c>
      <c r="Q29" s="52"/>
      <c r="R29" s="52"/>
    </row>
    <row r="30" spans="1:18" x14ac:dyDescent="0.3">
      <c r="A30" s="8">
        <v>20190204</v>
      </c>
      <c r="B30" s="9">
        <v>104.82</v>
      </c>
      <c r="C30" s="9">
        <v>25.44</v>
      </c>
      <c r="D30" s="54">
        <f t="shared" si="0"/>
        <v>4.1202830188679238</v>
      </c>
      <c r="Q30" s="52"/>
      <c r="R30" s="52"/>
    </row>
    <row r="31" spans="1:18" x14ac:dyDescent="0.3">
      <c r="A31" s="8">
        <v>20190205</v>
      </c>
      <c r="B31" s="9">
        <v>104.95</v>
      </c>
      <c r="C31" s="9">
        <v>25.47</v>
      </c>
      <c r="D31" s="54">
        <f t="shared" si="0"/>
        <v>4.1205339615233614</v>
      </c>
      <c r="Q31" s="52"/>
      <c r="R31" s="52"/>
    </row>
    <row r="32" spans="1:18" x14ac:dyDescent="0.3">
      <c r="A32" s="8">
        <v>20190206</v>
      </c>
      <c r="B32" s="9">
        <v>104.99</v>
      </c>
      <c r="C32" s="9">
        <v>25.49</v>
      </c>
      <c r="D32" s="54">
        <f t="shared" si="0"/>
        <v>4.118870145154963</v>
      </c>
      <c r="Q32" s="52"/>
      <c r="R32" s="52"/>
    </row>
    <row r="33" spans="1:18" x14ac:dyDescent="0.3">
      <c r="A33" s="8">
        <v>20190207</v>
      </c>
      <c r="B33" s="9">
        <v>105.1</v>
      </c>
      <c r="C33" s="9">
        <v>25.51</v>
      </c>
      <c r="D33" s="54">
        <f t="shared" si="0"/>
        <v>4.1199529596236761</v>
      </c>
      <c r="Q33" s="52"/>
      <c r="R33" s="52"/>
    </row>
    <row r="34" spans="1:18" x14ac:dyDescent="0.3">
      <c r="A34" s="8">
        <v>20190208</v>
      </c>
      <c r="B34" s="9">
        <v>105.17</v>
      </c>
      <c r="C34" s="9">
        <v>25.57</v>
      </c>
      <c r="D34" s="54">
        <f t="shared" si="0"/>
        <v>4.1130230739147438</v>
      </c>
      <c r="Q34" s="52"/>
      <c r="R34" s="52"/>
    </row>
    <row r="35" spans="1:18" x14ac:dyDescent="0.3">
      <c r="A35" s="8">
        <v>20190211</v>
      </c>
      <c r="B35" s="9">
        <v>105.12</v>
      </c>
      <c r="C35" s="9">
        <v>25.56</v>
      </c>
      <c r="D35" s="54">
        <f t="shared" si="0"/>
        <v>4.1126760563380289</v>
      </c>
      <c r="Q35" s="52"/>
      <c r="R35" s="52"/>
    </row>
    <row r="36" spans="1:18" x14ac:dyDescent="0.3">
      <c r="A36" s="8">
        <v>20190212</v>
      </c>
      <c r="B36" s="9">
        <v>105.08</v>
      </c>
      <c r="C36" s="9">
        <v>25.54</v>
      </c>
      <c r="D36" s="54">
        <f t="shared" si="0"/>
        <v>4.1143304620203605</v>
      </c>
      <c r="Q36" s="52"/>
      <c r="R36" s="52"/>
    </row>
    <row r="37" spans="1:18" x14ac:dyDescent="0.3">
      <c r="A37" s="8">
        <v>20190213</v>
      </c>
      <c r="B37" s="9">
        <v>104.95</v>
      </c>
      <c r="C37" s="9">
        <v>25.52</v>
      </c>
      <c r="D37" s="54">
        <f t="shared" si="0"/>
        <v>4.1124608150470223</v>
      </c>
      <c r="Q37" s="52"/>
      <c r="R37" s="52"/>
    </row>
    <row r="38" spans="1:18" x14ac:dyDescent="0.3">
      <c r="A38" s="8">
        <v>20190214</v>
      </c>
      <c r="B38" s="9">
        <v>105.06</v>
      </c>
      <c r="C38" s="9">
        <v>25.53</v>
      </c>
      <c r="D38" s="54">
        <f t="shared" si="0"/>
        <v>4.1151586368977675</v>
      </c>
      <c r="Q38" s="52"/>
      <c r="R38" s="52"/>
    </row>
    <row r="39" spans="1:18" x14ac:dyDescent="0.3">
      <c r="A39" s="8">
        <v>20190215</v>
      </c>
      <c r="B39" s="9">
        <v>105.08</v>
      </c>
      <c r="C39" s="9">
        <v>25.55</v>
      </c>
      <c r="D39" s="54">
        <f t="shared" si="0"/>
        <v>4.1127201565557732</v>
      </c>
      <c r="Q39" s="52"/>
      <c r="R39" s="52"/>
    </row>
    <row r="40" spans="1:18" x14ac:dyDescent="0.3">
      <c r="A40" s="8">
        <v>20190219</v>
      </c>
      <c r="B40" s="9">
        <v>105.2</v>
      </c>
      <c r="C40" s="9">
        <v>25.59</v>
      </c>
      <c r="D40" s="54">
        <f t="shared" si="0"/>
        <v>4.1109808518952713</v>
      </c>
      <c r="Q40" s="52"/>
      <c r="R40" s="52"/>
    </row>
    <row r="41" spans="1:18" x14ac:dyDescent="0.3">
      <c r="A41" s="8">
        <v>20190220</v>
      </c>
      <c r="B41" s="9">
        <v>105.24</v>
      </c>
      <c r="C41" s="9">
        <v>25.61</v>
      </c>
      <c r="D41" s="54">
        <f t="shared" si="0"/>
        <v>4.1093322920734083</v>
      </c>
      <c r="Q41" s="52"/>
      <c r="R41" s="52"/>
    </row>
    <row r="42" spans="1:18" x14ac:dyDescent="0.3">
      <c r="A42" s="8">
        <v>20190221</v>
      </c>
      <c r="B42" s="9">
        <v>105.13</v>
      </c>
      <c r="C42" s="9">
        <v>25.57</v>
      </c>
      <c r="D42" s="54">
        <f t="shared" si="0"/>
        <v>4.1114587407117718</v>
      </c>
      <c r="Q42" s="52"/>
      <c r="R42" s="52"/>
    </row>
    <row r="43" spans="1:18" x14ac:dyDescent="0.3">
      <c r="A43" s="8">
        <v>20190222</v>
      </c>
      <c r="B43" s="9">
        <v>105.25</v>
      </c>
      <c r="C43" s="9">
        <v>25.57</v>
      </c>
      <c r="D43" s="54">
        <f t="shared" si="0"/>
        <v>4.1161517403206886</v>
      </c>
      <c r="Q43" s="52"/>
      <c r="R43" s="52"/>
    </row>
    <row r="44" spans="1:18" x14ac:dyDescent="0.3">
      <c r="A44" s="8">
        <v>20190225</v>
      </c>
      <c r="B44" s="9">
        <v>105.24</v>
      </c>
      <c r="C44" s="9">
        <v>25.57</v>
      </c>
      <c r="D44" s="54">
        <f t="shared" si="0"/>
        <v>4.115760657019945</v>
      </c>
      <c r="Q44" s="52"/>
      <c r="R44" s="52"/>
    </row>
    <row r="45" spans="1:18" x14ac:dyDescent="0.3">
      <c r="A45" s="8">
        <v>20190226</v>
      </c>
      <c r="B45" s="9">
        <v>105.33</v>
      </c>
      <c r="C45" s="9">
        <v>25.6</v>
      </c>
      <c r="D45" s="54">
        <f t="shared" si="0"/>
        <v>4.1144531249999998</v>
      </c>
      <c r="Q45" s="52"/>
      <c r="R45" s="52"/>
    </row>
    <row r="46" spans="1:18" x14ac:dyDescent="0.3">
      <c r="A46" s="8">
        <v>20190227</v>
      </c>
      <c r="B46" s="9">
        <v>105.18</v>
      </c>
      <c r="C46" s="9">
        <v>25.57</v>
      </c>
      <c r="D46" s="54">
        <f t="shared" si="0"/>
        <v>4.1134141572154874</v>
      </c>
      <c r="Q46" s="52"/>
      <c r="R46" s="52"/>
    </row>
    <row r="47" spans="1:18" x14ac:dyDescent="0.3">
      <c r="A47" s="8">
        <v>20190228</v>
      </c>
      <c r="B47" s="9">
        <v>105.13</v>
      </c>
      <c r="C47" s="9">
        <v>25.54</v>
      </c>
      <c r="D47" s="54">
        <f t="shared" si="0"/>
        <v>4.1162881754111194</v>
      </c>
      <c r="Q47" s="52"/>
      <c r="R47" s="52"/>
    </row>
    <row r="48" spans="1:18" x14ac:dyDescent="0.3">
      <c r="A48" s="8">
        <v>20190301</v>
      </c>
      <c r="B48" s="9">
        <v>104.59</v>
      </c>
      <c r="C48" s="9">
        <v>25.44</v>
      </c>
      <c r="D48" s="54">
        <f t="shared" si="0"/>
        <v>4.1112421383647799</v>
      </c>
      <c r="Q48" s="52"/>
      <c r="R48" s="52"/>
    </row>
    <row r="49" spans="1:18" x14ac:dyDescent="0.3">
      <c r="A49" s="8">
        <v>20190304</v>
      </c>
      <c r="B49" s="9">
        <v>104.74</v>
      </c>
      <c r="C49" s="9">
        <v>25.42</v>
      </c>
      <c r="D49" s="54">
        <f t="shared" si="0"/>
        <v>4.1203776553894569</v>
      </c>
      <c r="Q49" s="52"/>
      <c r="R49" s="52"/>
    </row>
    <row r="50" spans="1:18" x14ac:dyDescent="0.3">
      <c r="A50" s="8">
        <v>20190305</v>
      </c>
      <c r="B50" s="9">
        <v>104.78</v>
      </c>
      <c r="C50" s="9">
        <v>25.4</v>
      </c>
      <c r="D50" s="54">
        <f t="shared" si="0"/>
        <v>4.1251968503937011</v>
      </c>
      <c r="Q50" s="52"/>
      <c r="R50" s="52"/>
    </row>
    <row r="51" spans="1:18" x14ac:dyDescent="0.3">
      <c r="A51" s="8">
        <v>20190306</v>
      </c>
      <c r="B51" s="9">
        <v>104.92</v>
      </c>
      <c r="C51" s="9">
        <v>25.49</v>
      </c>
      <c r="D51" s="54">
        <f t="shared" si="0"/>
        <v>4.1161239701843861</v>
      </c>
      <c r="Q51" s="52"/>
      <c r="R51" s="52"/>
    </row>
    <row r="52" spans="1:18" x14ac:dyDescent="0.3">
      <c r="A52" s="8">
        <v>20190307</v>
      </c>
      <c r="B52" s="9">
        <v>105.06</v>
      </c>
      <c r="C52" s="9">
        <v>25.48</v>
      </c>
      <c r="D52" s="54">
        <f t="shared" si="0"/>
        <v>4.1232339089481949</v>
      </c>
      <c r="Q52" s="52"/>
      <c r="R52" s="52"/>
    </row>
    <row r="53" spans="1:18" x14ac:dyDescent="0.3">
      <c r="A53" s="8">
        <v>20190308</v>
      </c>
      <c r="B53" s="9">
        <v>105.2</v>
      </c>
      <c r="C53" s="9">
        <v>25.55</v>
      </c>
      <c r="D53" s="54">
        <f t="shared" si="0"/>
        <v>4.1174168297455971</v>
      </c>
      <c r="Q53" s="52"/>
      <c r="R53" s="52"/>
    </row>
    <row r="54" spans="1:18" x14ac:dyDescent="0.3">
      <c r="A54" s="8">
        <v>20190311</v>
      </c>
      <c r="B54" s="9">
        <v>105.2</v>
      </c>
      <c r="C54" s="9">
        <v>25.59</v>
      </c>
      <c r="D54" s="54">
        <f t="shared" si="0"/>
        <v>4.1109808518952713</v>
      </c>
      <c r="Q54" s="52"/>
      <c r="R54" s="52"/>
    </row>
    <row r="55" spans="1:18" x14ac:dyDescent="0.3">
      <c r="A55" s="8">
        <v>20190312</v>
      </c>
      <c r="B55" s="9">
        <v>105.4</v>
      </c>
      <c r="C55" s="9">
        <v>25.63</v>
      </c>
      <c r="D55" s="54">
        <f t="shared" si="0"/>
        <v>4.1123683183769026</v>
      </c>
      <c r="Q55" s="52"/>
      <c r="R55" s="52"/>
    </row>
    <row r="56" spans="1:18" x14ac:dyDescent="0.3">
      <c r="A56" s="8">
        <v>20190313</v>
      </c>
      <c r="B56" s="9">
        <v>105.43</v>
      </c>
      <c r="C56" s="9">
        <v>25.57</v>
      </c>
      <c r="D56" s="54">
        <f t="shared" si="0"/>
        <v>4.123191239734064</v>
      </c>
      <c r="Q56" s="52"/>
      <c r="R56" s="52"/>
    </row>
    <row r="57" spans="1:18" x14ac:dyDescent="0.3">
      <c r="A57" s="8">
        <v>20190314</v>
      </c>
      <c r="B57" s="9">
        <v>105.36</v>
      </c>
      <c r="C57" s="9">
        <v>25.61</v>
      </c>
      <c r="D57" s="54">
        <f t="shared" si="0"/>
        <v>4.1140179617336976</v>
      </c>
      <c r="Q57" s="52"/>
      <c r="R57" s="52"/>
    </row>
    <row r="58" spans="1:18" x14ac:dyDescent="0.3">
      <c r="A58" s="8">
        <v>20190315</v>
      </c>
      <c r="B58" s="9">
        <v>105.54</v>
      </c>
      <c r="C58" s="9">
        <v>25.62</v>
      </c>
      <c r="D58" s="54">
        <f t="shared" si="0"/>
        <v>4.1194379391100702</v>
      </c>
      <c r="Q58" s="52"/>
      <c r="R58" s="52"/>
    </row>
    <row r="59" spans="1:18" x14ac:dyDescent="0.3">
      <c r="A59" s="8">
        <v>20190318</v>
      </c>
      <c r="B59" s="9">
        <v>105.55</v>
      </c>
      <c r="C59" s="9">
        <v>25.64</v>
      </c>
      <c r="D59" s="54">
        <f t="shared" si="0"/>
        <v>4.1166146645865833</v>
      </c>
      <c r="Q59" s="52"/>
      <c r="R59" s="52"/>
    </row>
    <row r="60" spans="1:18" x14ac:dyDescent="0.3">
      <c r="A60" s="8">
        <v>20190319</v>
      </c>
      <c r="B60" s="9">
        <v>105.52</v>
      </c>
      <c r="C60" s="9">
        <v>25.66</v>
      </c>
      <c r="D60" s="54">
        <f t="shared" si="0"/>
        <v>4.1122369446609506</v>
      </c>
      <c r="Q60" s="52"/>
      <c r="R60" s="52"/>
    </row>
    <row r="61" spans="1:18" x14ac:dyDescent="0.3">
      <c r="A61" s="8">
        <v>20190320</v>
      </c>
      <c r="B61" s="9">
        <v>105.81</v>
      </c>
      <c r="C61" s="9">
        <v>25.74</v>
      </c>
      <c r="D61" s="54">
        <f t="shared" si="0"/>
        <v>4.1107226107226111</v>
      </c>
      <c r="Q61" s="52"/>
      <c r="R61" s="52"/>
    </row>
    <row r="62" spans="1:18" x14ac:dyDescent="0.3">
      <c r="A62" s="8">
        <v>20190321</v>
      </c>
      <c r="B62" s="9">
        <v>105.85</v>
      </c>
      <c r="C62" s="9">
        <v>25.71</v>
      </c>
      <c r="D62" s="54">
        <f t="shared" si="0"/>
        <v>4.1170750680668995</v>
      </c>
      <c r="Q62" s="52"/>
      <c r="R62" s="52"/>
    </row>
    <row r="63" spans="1:18" x14ac:dyDescent="0.3">
      <c r="A63" s="8">
        <v>20190322</v>
      </c>
      <c r="B63" s="9">
        <v>106.2</v>
      </c>
      <c r="C63" s="9">
        <v>25.82</v>
      </c>
      <c r="D63" s="54">
        <f t="shared" si="0"/>
        <v>4.1130906274206041</v>
      </c>
      <c r="Q63" s="52"/>
      <c r="R63" s="52"/>
    </row>
    <row r="64" spans="1:18" x14ac:dyDescent="0.3">
      <c r="A64" s="8">
        <v>20190325</v>
      </c>
      <c r="B64" s="9">
        <v>106.29</v>
      </c>
      <c r="C64" s="9">
        <v>25.83</v>
      </c>
      <c r="D64" s="54">
        <f t="shared" si="0"/>
        <v>4.1149825783972132</v>
      </c>
      <c r="Q64" s="52"/>
      <c r="R64" s="52"/>
    </row>
    <row r="65" spans="1:18" x14ac:dyDescent="0.3">
      <c r="A65" s="8">
        <v>20190326</v>
      </c>
      <c r="B65" s="9">
        <v>106.43</v>
      </c>
      <c r="C65" s="9">
        <v>25.88</v>
      </c>
      <c r="D65" s="54">
        <f t="shared" si="0"/>
        <v>4.1124420401854715</v>
      </c>
      <c r="Q65" s="52"/>
      <c r="R65" s="52"/>
    </row>
    <row r="66" spans="1:18" x14ac:dyDescent="0.3">
      <c r="A66" s="8">
        <v>20190327</v>
      </c>
      <c r="B66" s="9">
        <v>106.49</v>
      </c>
      <c r="C66" s="9">
        <v>25.88</v>
      </c>
      <c r="D66" s="54">
        <f t="shared" si="0"/>
        <v>4.114760432766615</v>
      </c>
      <c r="Q66" s="52"/>
      <c r="R66" s="52"/>
    </row>
    <row r="67" spans="1:18" x14ac:dyDescent="0.3">
      <c r="A67" s="8">
        <v>20190328</v>
      </c>
      <c r="B67" s="9">
        <v>106.45</v>
      </c>
      <c r="C67" s="9">
        <v>25.87</v>
      </c>
      <c r="D67" s="54">
        <f t="shared" si="0"/>
        <v>4.1148047931967531</v>
      </c>
      <c r="Q67" s="52"/>
      <c r="R67" s="52"/>
    </row>
    <row r="68" spans="1:18" x14ac:dyDescent="0.3">
      <c r="A68" s="8">
        <v>20190329</v>
      </c>
      <c r="B68" s="9">
        <v>106.36</v>
      </c>
      <c r="C68" s="9">
        <v>25.82</v>
      </c>
      <c r="D68" s="54">
        <f t="shared" si="0"/>
        <v>4.1192873741285823</v>
      </c>
      <c r="Q68" s="52"/>
      <c r="R68" s="52"/>
    </row>
    <row r="69" spans="1:18" x14ac:dyDescent="0.3">
      <c r="A69" s="8">
        <v>20190401</v>
      </c>
      <c r="B69" s="9">
        <v>105.71</v>
      </c>
      <c r="C69" s="9">
        <v>25.65</v>
      </c>
      <c r="D69" s="54">
        <f t="shared" si="0"/>
        <v>4.1212475633528269</v>
      </c>
      <c r="Q69" s="52"/>
      <c r="R69" s="52"/>
    </row>
    <row r="70" spans="1:18" x14ac:dyDescent="0.3">
      <c r="A70" s="8">
        <v>20190402</v>
      </c>
      <c r="B70" s="9">
        <v>105.78</v>
      </c>
      <c r="C70" s="9">
        <v>25.68</v>
      </c>
      <c r="D70" s="54">
        <f t="shared" si="0"/>
        <v>4.1191588785046731</v>
      </c>
      <c r="Q70" s="52"/>
      <c r="R70" s="52"/>
    </row>
    <row r="71" spans="1:18" x14ac:dyDescent="0.3">
      <c r="A71" s="8">
        <v>20190403</v>
      </c>
      <c r="B71" s="9">
        <v>105.69</v>
      </c>
      <c r="C71" s="9">
        <v>25.61</v>
      </c>
      <c r="D71" s="54">
        <f t="shared" si="0"/>
        <v>4.126903553299492</v>
      </c>
      <c r="Q71" s="52"/>
      <c r="R71" s="52"/>
    </row>
    <row r="72" spans="1:18" x14ac:dyDescent="0.3">
      <c r="A72" s="8">
        <v>20190404</v>
      </c>
      <c r="B72" s="9">
        <v>105.78</v>
      </c>
      <c r="C72" s="9">
        <v>25.67</v>
      </c>
      <c r="D72" s="54">
        <f t="shared" si="0"/>
        <v>4.1207635372029605</v>
      </c>
      <c r="Q72" s="52"/>
      <c r="R72" s="52"/>
    </row>
    <row r="73" spans="1:18" x14ac:dyDescent="0.3">
      <c r="A73" s="8">
        <v>20190405</v>
      </c>
      <c r="B73" s="9">
        <v>105.9</v>
      </c>
      <c r="C73" s="9">
        <v>25.72</v>
      </c>
      <c r="D73" s="54">
        <f t="shared" ref="D73:D136" si="3">B73/C73</f>
        <v>4.1174183514774496</v>
      </c>
      <c r="Q73" s="52"/>
      <c r="R73" s="52"/>
    </row>
    <row r="74" spans="1:18" x14ac:dyDescent="0.3">
      <c r="A74" s="8">
        <v>20190408</v>
      </c>
      <c r="B74" s="9">
        <v>105.81</v>
      </c>
      <c r="C74" s="9">
        <v>25.68</v>
      </c>
      <c r="D74" s="54">
        <f t="shared" si="3"/>
        <v>4.1203271028037385</v>
      </c>
      <c r="Q74" s="52"/>
      <c r="R74" s="52"/>
    </row>
    <row r="75" spans="1:18" x14ac:dyDescent="0.3">
      <c r="A75" s="8">
        <v>20190409</v>
      </c>
      <c r="B75" s="9">
        <v>105.87</v>
      </c>
      <c r="C75" s="9">
        <v>25.71</v>
      </c>
      <c r="D75" s="54">
        <f t="shared" si="3"/>
        <v>4.1178529754959161</v>
      </c>
      <c r="Q75" s="52"/>
      <c r="R75" s="52"/>
    </row>
    <row r="76" spans="1:18" x14ac:dyDescent="0.3">
      <c r="A76" s="8">
        <v>20190410</v>
      </c>
      <c r="B76" s="9">
        <v>106.03</v>
      </c>
      <c r="C76" s="9">
        <v>25.71</v>
      </c>
      <c r="D76" s="54">
        <f t="shared" si="3"/>
        <v>4.1240762349280438</v>
      </c>
      <c r="Q76" s="52"/>
      <c r="R76" s="52"/>
    </row>
    <row r="77" spans="1:18" x14ac:dyDescent="0.3">
      <c r="A77" s="8">
        <v>20190411</v>
      </c>
      <c r="B77" s="9">
        <v>105.94</v>
      </c>
      <c r="C77" s="9">
        <v>25.73</v>
      </c>
      <c r="D77" s="54">
        <f t="shared" si="3"/>
        <v>4.1173727166731444</v>
      </c>
      <c r="Q77" s="52"/>
      <c r="R77" s="52"/>
    </row>
    <row r="78" spans="1:18" x14ac:dyDescent="0.3">
      <c r="A78" s="8">
        <v>20190412</v>
      </c>
      <c r="B78" s="9">
        <v>105.73</v>
      </c>
      <c r="C78" s="9">
        <v>25.71</v>
      </c>
      <c r="D78" s="54">
        <f t="shared" si="3"/>
        <v>4.1124076234928042</v>
      </c>
      <c r="Q78" s="52"/>
      <c r="R78" s="52"/>
    </row>
    <row r="79" spans="1:18" x14ac:dyDescent="0.3">
      <c r="A79" s="8">
        <v>20190415</v>
      </c>
      <c r="B79" s="9">
        <v>105.81</v>
      </c>
      <c r="C79" s="9">
        <v>25.7</v>
      </c>
      <c r="D79" s="54">
        <f t="shared" si="3"/>
        <v>4.1171206225680939</v>
      </c>
      <c r="Q79" s="52"/>
      <c r="R79" s="52"/>
    </row>
    <row r="80" spans="1:18" x14ac:dyDescent="0.3">
      <c r="A80" s="8">
        <v>20190416</v>
      </c>
      <c r="B80" s="9">
        <v>105.63</v>
      </c>
      <c r="C80" s="9">
        <v>25.69</v>
      </c>
      <c r="D80" s="54">
        <f t="shared" si="3"/>
        <v>4.1117166212534055</v>
      </c>
      <c r="Q80" s="52"/>
      <c r="R80" s="52"/>
    </row>
    <row r="81" spans="1:18" x14ac:dyDescent="0.3">
      <c r="A81" s="8">
        <v>20190417</v>
      </c>
      <c r="B81" s="9">
        <v>105.7</v>
      </c>
      <c r="C81" s="9">
        <v>25.68</v>
      </c>
      <c r="D81" s="54">
        <f t="shared" si="3"/>
        <v>4.1160436137071654</v>
      </c>
      <c r="Q81" s="52"/>
      <c r="R81" s="52"/>
    </row>
    <row r="82" spans="1:18" x14ac:dyDescent="0.3">
      <c r="A82" s="8">
        <v>20190418</v>
      </c>
      <c r="B82" s="9">
        <v>105.72</v>
      </c>
      <c r="C82" s="9">
        <v>25.7</v>
      </c>
      <c r="D82" s="54">
        <f t="shared" si="3"/>
        <v>4.113618677042802</v>
      </c>
      <c r="Q82" s="52"/>
      <c r="R82" s="52"/>
    </row>
    <row r="83" spans="1:18" x14ac:dyDescent="0.3">
      <c r="A83" s="8">
        <v>20190422</v>
      </c>
      <c r="B83" s="9">
        <v>105.65</v>
      </c>
      <c r="C83" s="9">
        <v>25.68</v>
      </c>
      <c r="D83" s="54">
        <f t="shared" si="3"/>
        <v>4.1140965732087231</v>
      </c>
      <c r="Q83" s="52"/>
      <c r="R83" s="52"/>
    </row>
    <row r="84" spans="1:18" x14ac:dyDescent="0.3">
      <c r="A84" s="8">
        <v>20190423</v>
      </c>
      <c r="B84" s="9">
        <v>105.68</v>
      </c>
      <c r="C84" s="9">
        <v>25.68</v>
      </c>
      <c r="D84" s="54">
        <f t="shared" si="3"/>
        <v>4.1152647975077885</v>
      </c>
      <c r="Q84" s="52"/>
      <c r="R84" s="52"/>
    </row>
    <row r="85" spans="1:18" x14ac:dyDescent="0.3">
      <c r="A85" s="8">
        <v>20190424</v>
      </c>
      <c r="B85" s="9">
        <v>105.83</v>
      </c>
      <c r="C85" s="9">
        <v>25.74</v>
      </c>
      <c r="D85" s="54">
        <f t="shared" si="3"/>
        <v>4.1114996114996121</v>
      </c>
      <c r="Q85" s="52"/>
      <c r="R85" s="52"/>
    </row>
    <row r="86" spans="1:18" x14ac:dyDescent="0.3">
      <c r="A86" s="8">
        <v>20190425</v>
      </c>
      <c r="B86" s="9">
        <v>105.84</v>
      </c>
      <c r="C86" s="9">
        <v>25.71</v>
      </c>
      <c r="D86" s="54">
        <f t="shared" si="3"/>
        <v>4.1166861143523921</v>
      </c>
      <c r="Q86" s="52"/>
      <c r="R86" s="52"/>
    </row>
    <row r="87" spans="1:18" x14ac:dyDescent="0.3">
      <c r="A87" s="8">
        <v>20190426</v>
      </c>
      <c r="B87" s="9">
        <v>106.05</v>
      </c>
      <c r="C87" s="9">
        <v>25.78</v>
      </c>
      <c r="D87" s="54">
        <f t="shared" si="3"/>
        <v>4.1136539953452287</v>
      </c>
      <c r="Q87" s="52"/>
      <c r="R87" s="52"/>
    </row>
    <row r="88" spans="1:18" x14ac:dyDescent="0.3">
      <c r="A88" s="8">
        <v>20190429</v>
      </c>
      <c r="B88" s="9">
        <v>105.95</v>
      </c>
      <c r="C88" s="9">
        <v>25.73</v>
      </c>
      <c r="D88" s="54">
        <f t="shared" si="3"/>
        <v>4.1177613680528564</v>
      </c>
      <c r="Q88" s="52"/>
      <c r="R88" s="52"/>
    </row>
    <row r="89" spans="1:18" x14ac:dyDescent="0.3">
      <c r="A89" s="8">
        <v>20190430</v>
      </c>
      <c r="B89" s="9">
        <v>105.99</v>
      </c>
      <c r="C89" s="9">
        <v>25.77</v>
      </c>
      <c r="D89" s="54">
        <f t="shared" si="3"/>
        <v>4.1129220023282889</v>
      </c>
      <c r="Q89" s="52"/>
      <c r="R89" s="52"/>
    </row>
    <row r="90" spans="1:18" x14ac:dyDescent="0.3">
      <c r="A90" s="8">
        <v>20190501</v>
      </c>
      <c r="B90" s="9">
        <v>105.8</v>
      </c>
      <c r="C90" s="9">
        <v>25.69</v>
      </c>
      <c r="D90" s="54">
        <f t="shared" si="3"/>
        <v>4.1183339820941995</v>
      </c>
      <c r="Q90" s="52"/>
      <c r="R90" s="52"/>
    </row>
    <row r="91" spans="1:18" x14ac:dyDescent="0.3">
      <c r="A91" s="8">
        <v>20190502</v>
      </c>
      <c r="B91" s="9">
        <v>105.66</v>
      </c>
      <c r="C91" s="9">
        <v>25.69</v>
      </c>
      <c r="D91" s="54">
        <f t="shared" si="3"/>
        <v>4.1128843908135462</v>
      </c>
      <c r="Q91" s="52"/>
      <c r="R91" s="52"/>
    </row>
    <row r="92" spans="1:18" x14ac:dyDescent="0.3">
      <c r="A92" s="8">
        <v>20190503</v>
      </c>
      <c r="B92" s="9">
        <v>105.85</v>
      </c>
      <c r="C92" s="9">
        <v>25.72</v>
      </c>
      <c r="D92" s="54">
        <f t="shared" si="3"/>
        <v>4.11547433903577</v>
      </c>
      <c r="Q92" s="52"/>
      <c r="R92" s="52"/>
    </row>
    <row r="93" spans="1:18" x14ac:dyDescent="0.3">
      <c r="A93" s="8">
        <v>20190506</v>
      </c>
      <c r="B93" s="9">
        <v>105.89</v>
      </c>
      <c r="C93" s="9">
        <v>25.73</v>
      </c>
      <c r="D93" s="54">
        <f t="shared" si="3"/>
        <v>4.1154294597745817</v>
      </c>
      <c r="Q93" s="52"/>
      <c r="R93" s="52"/>
    </row>
    <row r="94" spans="1:18" x14ac:dyDescent="0.3">
      <c r="A94" s="8">
        <v>20190507</v>
      </c>
      <c r="B94" s="9">
        <v>105.97</v>
      </c>
      <c r="C94" s="9">
        <v>25.76</v>
      </c>
      <c r="D94" s="54">
        <f t="shared" si="3"/>
        <v>4.1137422360248443</v>
      </c>
      <c r="Q94" s="52"/>
      <c r="R94" s="52"/>
    </row>
    <row r="95" spans="1:18" x14ac:dyDescent="0.3">
      <c r="A95" s="8">
        <v>20190508</v>
      </c>
      <c r="B95" s="9">
        <v>105.91</v>
      </c>
      <c r="C95" s="9">
        <v>25.73</v>
      </c>
      <c r="D95" s="54">
        <f t="shared" si="3"/>
        <v>4.1162067625340066</v>
      </c>
      <c r="Q95" s="52"/>
      <c r="R95" s="52"/>
    </row>
    <row r="96" spans="1:18" x14ac:dyDescent="0.3">
      <c r="A96" s="8">
        <v>20190509</v>
      </c>
      <c r="B96" s="9">
        <v>105.95</v>
      </c>
      <c r="C96" s="9">
        <v>25.74</v>
      </c>
      <c r="D96" s="54">
        <f t="shared" si="3"/>
        <v>4.1161616161616168</v>
      </c>
      <c r="Q96" s="52"/>
      <c r="R96" s="52"/>
    </row>
    <row r="97" spans="1:18" x14ac:dyDescent="0.3">
      <c r="A97" s="8">
        <v>20190510</v>
      </c>
      <c r="B97" s="9">
        <v>106.06</v>
      </c>
      <c r="C97" s="9">
        <v>25.75</v>
      </c>
      <c r="D97" s="54">
        <f t="shared" si="3"/>
        <v>4.1188349514563107</v>
      </c>
      <c r="Q97" s="52"/>
      <c r="R97" s="52"/>
    </row>
    <row r="98" spans="1:18" x14ac:dyDescent="0.3">
      <c r="A98" s="8">
        <v>20190513</v>
      </c>
      <c r="B98" s="9">
        <v>106.2</v>
      </c>
      <c r="C98" s="9">
        <v>25.81</v>
      </c>
      <c r="D98" s="54">
        <f t="shared" si="3"/>
        <v>4.1146842309182494</v>
      </c>
      <c r="Q98" s="52"/>
      <c r="R98" s="52"/>
    </row>
    <row r="99" spans="1:18" x14ac:dyDescent="0.3">
      <c r="A99" s="8">
        <v>20190514</v>
      </c>
      <c r="B99" s="9">
        <v>106.26</v>
      </c>
      <c r="C99" s="9">
        <v>25.81</v>
      </c>
      <c r="D99" s="54">
        <f t="shared" si="3"/>
        <v>4.1170089112747004</v>
      </c>
      <c r="Q99" s="52"/>
      <c r="R99" s="52"/>
    </row>
    <row r="100" spans="1:18" x14ac:dyDescent="0.3">
      <c r="A100" s="8">
        <v>20190515</v>
      </c>
      <c r="B100" s="9">
        <v>106.38</v>
      </c>
      <c r="C100" s="9">
        <v>25.79</v>
      </c>
      <c r="D100" s="54">
        <f t="shared" si="3"/>
        <v>4.1248545948041873</v>
      </c>
      <c r="Q100" s="52"/>
      <c r="R100" s="52"/>
    </row>
    <row r="101" spans="1:18" x14ac:dyDescent="0.3">
      <c r="A101" s="8">
        <v>20190516</v>
      </c>
      <c r="B101" s="9">
        <v>106.32</v>
      </c>
      <c r="C101" s="9">
        <v>25.79</v>
      </c>
      <c r="D101" s="54">
        <f t="shared" si="3"/>
        <v>4.1225281116711905</v>
      </c>
      <c r="Q101" s="52"/>
      <c r="R101" s="52"/>
    </row>
    <row r="102" spans="1:18" x14ac:dyDescent="0.3">
      <c r="A102" s="8">
        <v>20190517</v>
      </c>
      <c r="B102" s="9">
        <v>106.28</v>
      </c>
      <c r="C102" s="9">
        <v>25.76</v>
      </c>
      <c r="D102" s="54">
        <f t="shared" si="3"/>
        <v>4.1257763975155282</v>
      </c>
      <c r="Q102" s="52"/>
      <c r="R102" s="52"/>
    </row>
    <row r="103" spans="1:18" x14ac:dyDescent="0.3">
      <c r="A103" s="8">
        <v>20190520</v>
      </c>
      <c r="B103" s="9">
        <v>106.15</v>
      </c>
      <c r="C103" s="9">
        <v>25.74</v>
      </c>
      <c r="D103" s="54">
        <f t="shared" si="3"/>
        <v>4.1239316239316244</v>
      </c>
      <c r="Q103" s="52"/>
      <c r="R103" s="52"/>
    </row>
    <row r="104" spans="1:18" x14ac:dyDescent="0.3">
      <c r="A104" s="8">
        <v>20190521</v>
      </c>
      <c r="B104" s="9">
        <v>106.16</v>
      </c>
      <c r="C104" s="9">
        <v>25.73</v>
      </c>
      <c r="D104" s="54">
        <f t="shared" si="3"/>
        <v>4.1259230470268164</v>
      </c>
      <c r="Q104" s="52"/>
      <c r="R104" s="52"/>
    </row>
    <row r="105" spans="1:18" x14ac:dyDescent="0.3">
      <c r="A105" s="8">
        <v>20190522</v>
      </c>
      <c r="B105" s="9">
        <v>106.27</v>
      </c>
      <c r="C105" s="9">
        <v>25.77</v>
      </c>
      <c r="D105" s="54">
        <f t="shared" si="3"/>
        <v>4.1237873496313542</v>
      </c>
      <c r="Q105" s="52"/>
      <c r="R105" s="52"/>
    </row>
    <row r="106" spans="1:18" x14ac:dyDescent="0.3">
      <c r="A106" s="8">
        <v>20190523</v>
      </c>
      <c r="B106" s="9">
        <v>106.48</v>
      </c>
      <c r="C106" s="9">
        <v>25.83</v>
      </c>
      <c r="D106" s="54">
        <f t="shared" si="3"/>
        <v>4.1223383662408057</v>
      </c>
      <c r="Q106" s="52"/>
      <c r="R106" s="52"/>
    </row>
    <row r="107" spans="1:18" x14ac:dyDescent="0.3">
      <c r="A107" s="8">
        <v>20190524</v>
      </c>
      <c r="B107" s="9">
        <v>106.52</v>
      </c>
      <c r="C107" s="9">
        <v>25.85</v>
      </c>
      <c r="D107" s="54">
        <f t="shared" si="3"/>
        <v>4.120696324951644</v>
      </c>
      <c r="Q107" s="52"/>
      <c r="R107" s="52"/>
    </row>
    <row r="108" spans="1:18" x14ac:dyDescent="0.3">
      <c r="A108" s="8">
        <v>20190528</v>
      </c>
      <c r="B108" s="9">
        <v>106.54</v>
      </c>
      <c r="C108" s="9">
        <v>25.83</v>
      </c>
      <c r="D108" s="54">
        <f t="shared" si="3"/>
        <v>4.124661246612467</v>
      </c>
      <c r="Q108" s="52"/>
      <c r="R108" s="52"/>
    </row>
    <row r="109" spans="1:18" x14ac:dyDescent="0.3">
      <c r="A109" s="8">
        <v>20190529</v>
      </c>
      <c r="B109" s="9">
        <v>106.63</v>
      </c>
      <c r="C109" s="9">
        <v>25.9</v>
      </c>
      <c r="D109" s="54">
        <f t="shared" si="3"/>
        <v>4.1169884169884172</v>
      </c>
      <c r="Q109" s="52"/>
      <c r="R109" s="52"/>
    </row>
    <row r="110" spans="1:18" x14ac:dyDescent="0.3">
      <c r="A110" s="8">
        <v>20190530</v>
      </c>
      <c r="B110" s="9">
        <v>106.81</v>
      </c>
      <c r="C110" s="9">
        <v>25.93</v>
      </c>
      <c r="D110" s="54">
        <f t="shared" si="3"/>
        <v>4.1191669880447357</v>
      </c>
      <c r="Q110" s="52"/>
      <c r="R110" s="52"/>
    </row>
    <row r="111" spans="1:18" x14ac:dyDescent="0.3">
      <c r="A111" s="8">
        <v>20190531</v>
      </c>
      <c r="B111" s="9">
        <v>107.01</v>
      </c>
      <c r="C111" s="9">
        <v>25.98</v>
      </c>
      <c r="D111" s="54">
        <f t="shared" si="3"/>
        <v>4.1189376443418011</v>
      </c>
      <c r="Q111" s="52"/>
      <c r="R111" s="52"/>
    </row>
    <row r="112" spans="1:18" x14ac:dyDescent="0.3">
      <c r="A112" s="8">
        <v>20190603</v>
      </c>
      <c r="B112" s="9">
        <v>107.02</v>
      </c>
      <c r="C112" s="9">
        <v>26.02</v>
      </c>
      <c r="D112" s="54">
        <f t="shared" si="3"/>
        <v>4.1129900076863946</v>
      </c>
      <c r="Q112" s="52"/>
      <c r="R112" s="52"/>
    </row>
    <row r="113" spans="1:18" x14ac:dyDescent="0.3">
      <c r="A113" s="8">
        <v>20190604</v>
      </c>
      <c r="B113" s="9">
        <v>106.88</v>
      </c>
      <c r="C113" s="9">
        <v>25.96</v>
      </c>
      <c r="D113" s="54">
        <f t="shared" si="3"/>
        <v>4.1171032357473036</v>
      </c>
      <c r="Q113" s="52"/>
      <c r="R113" s="52"/>
    </row>
    <row r="114" spans="1:18" x14ac:dyDescent="0.3">
      <c r="A114" s="8">
        <v>20190605</v>
      </c>
      <c r="B114" s="9">
        <v>106.92</v>
      </c>
      <c r="C114" s="9">
        <v>25.97</v>
      </c>
      <c r="D114" s="54">
        <f t="shared" si="3"/>
        <v>4.1170581440123222</v>
      </c>
      <c r="Q114" s="52"/>
      <c r="R114" s="52"/>
    </row>
    <row r="115" spans="1:18" x14ac:dyDescent="0.3">
      <c r="A115" s="8">
        <v>20190606</v>
      </c>
      <c r="B115" s="9">
        <v>106.97</v>
      </c>
      <c r="C115" s="9">
        <v>25.98</v>
      </c>
      <c r="D115" s="54">
        <f t="shared" si="3"/>
        <v>4.1173979984603539</v>
      </c>
      <c r="Q115" s="52"/>
      <c r="R115" s="52"/>
    </row>
    <row r="116" spans="1:18" x14ac:dyDescent="0.3">
      <c r="A116" s="8">
        <v>20190607</v>
      </c>
      <c r="B116" s="9">
        <v>107.19</v>
      </c>
      <c r="C116" s="9">
        <v>26.01</v>
      </c>
      <c r="D116" s="54">
        <f t="shared" si="3"/>
        <v>4.1211072664359856</v>
      </c>
      <c r="Q116" s="52"/>
      <c r="R116" s="52"/>
    </row>
    <row r="117" spans="1:18" x14ac:dyDescent="0.3">
      <c r="A117" s="8">
        <v>20190610</v>
      </c>
      <c r="B117" s="9">
        <v>106.91</v>
      </c>
      <c r="C117" s="9">
        <v>25.97</v>
      </c>
      <c r="D117" s="54">
        <f t="shared" si="3"/>
        <v>4.1166730843280712</v>
      </c>
      <c r="Q117" s="52"/>
      <c r="R117" s="52"/>
    </row>
    <row r="118" spans="1:18" x14ac:dyDescent="0.3">
      <c r="A118" s="8">
        <v>20190611</v>
      </c>
      <c r="B118" s="9">
        <v>106.89</v>
      </c>
      <c r="C118" s="9">
        <v>25.96</v>
      </c>
      <c r="D118" s="54">
        <f t="shared" si="3"/>
        <v>4.1174884437596297</v>
      </c>
      <c r="Q118" s="52"/>
      <c r="R118" s="52"/>
    </row>
    <row r="119" spans="1:18" x14ac:dyDescent="0.3">
      <c r="A119" s="8">
        <v>20190612</v>
      </c>
      <c r="B119" s="9">
        <v>107.06</v>
      </c>
      <c r="C119" s="9">
        <v>25.98</v>
      </c>
      <c r="D119" s="54">
        <f t="shared" si="3"/>
        <v>4.1208622016936101</v>
      </c>
      <c r="Q119" s="52"/>
      <c r="R119" s="52"/>
    </row>
    <row r="120" spans="1:18" x14ac:dyDescent="0.3">
      <c r="A120" s="8">
        <v>20190613</v>
      </c>
      <c r="B120" s="9">
        <v>107.16</v>
      </c>
      <c r="C120" s="9">
        <v>26.02</v>
      </c>
      <c r="D120" s="54">
        <f t="shared" si="3"/>
        <v>4.1183704842428899</v>
      </c>
      <c r="Q120" s="52"/>
      <c r="R120" s="52"/>
    </row>
    <row r="121" spans="1:18" x14ac:dyDescent="0.3">
      <c r="A121" s="8">
        <v>20190614</v>
      </c>
      <c r="B121" s="9">
        <v>107.08</v>
      </c>
      <c r="C121" s="9">
        <v>25.99</v>
      </c>
      <c r="D121" s="54">
        <f t="shared" si="3"/>
        <v>4.1200461716044634</v>
      </c>
      <c r="Q121" s="52"/>
      <c r="R121" s="52"/>
    </row>
    <row r="122" spans="1:18" x14ac:dyDescent="0.3">
      <c r="A122" s="8">
        <v>20190617</v>
      </c>
      <c r="B122" s="9">
        <v>107.04</v>
      </c>
      <c r="C122" s="9">
        <v>26</v>
      </c>
      <c r="D122" s="54">
        <f t="shared" si="3"/>
        <v>4.1169230769230776</v>
      </c>
      <c r="Q122" s="52"/>
      <c r="R122" s="52"/>
    </row>
    <row r="123" spans="1:18" x14ac:dyDescent="0.3">
      <c r="A123" s="8">
        <v>20190618</v>
      </c>
      <c r="B123" s="9">
        <v>107.2</v>
      </c>
      <c r="C123" s="9">
        <v>26.03</v>
      </c>
      <c r="D123" s="54">
        <f t="shared" si="3"/>
        <v>4.1183250096043027</v>
      </c>
      <c r="Q123" s="52"/>
      <c r="R123" s="52"/>
    </row>
    <row r="124" spans="1:18" x14ac:dyDescent="0.3">
      <c r="A124" s="8">
        <v>20190619</v>
      </c>
      <c r="B124" s="9">
        <v>107.5</v>
      </c>
      <c r="C124" s="9">
        <v>26.05</v>
      </c>
      <c r="D124" s="54">
        <f t="shared" si="3"/>
        <v>4.1266794625719765</v>
      </c>
      <c r="Q124" s="52"/>
      <c r="R124" s="52"/>
    </row>
    <row r="125" spans="1:18" x14ac:dyDescent="0.3">
      <c r="A125" s="8">
        <v>20190620</v>
      </c>
      <c r="B125" s="9">
        <v>107.66</v>
      </c>
      <c r="C125" s="9">
        <v>26.09</v>
      </c>
      <c r="D125" s="54">
        <f t="shared" si="3"/>
        <v>4.1264852433882711</v>
      </c>
      <c r="Q125" s="52"/>
      <c r="R125" s="52"/>
    </row>
    <row r="126" spans="1:18" x14ac:dyDescent="0.3">
      <c r="A126" s="8">
        <v>20190621</v>
      </c>
      <c r="B126" s="9">
        <v>107.35</v>
      </c>
      <c r="C126" s="9">
        <v>26.07</v>
      </c>
      <c r="D126" s="54">
        <f t="shared" si="3"/>
        <v>4.1177598772535475</v>
      </c>
      <c r="Q126" s="52"/>
      <c r="R126" s="52"/>
    </row>
    <row r="127" spans="1:18" x14ac:dyDescent="0.3">
      <c r="A127" s="8">
        <v>20190624</v>
      </c>
      <c r="B127" s="9">
        <v>107.48</v>
      </c>
      <c r="C127" s="9">
        <v>26.07</v>
      </c>
      <c r="D127" s="54">
        <f t="shared" si="3"/>
        <v>4.122746451860376</v>
      </c>
      <c r="Q127" s="52"/>
      <c r="R127" s="52"/>
    </row>
    <row r="128" spans="1:18" x14ac:dyDescent="0.3">
      <c r="A128" s="8">
        <v>20190625</v>
      </c>
      <c r="B128" s="9">
        <v>107.46</v>
      </c>
      <c r="C128" s="9">
        <v>26.12</v>
      </c>
      <c r="D128" s="54">
        <f t="shared" si="3"/>
        <v>4.1140888208269519</v>
      </c>
      <c r="Q128" s="52"/>
      <c r="R128" s="52"/>
    </row>
    <row r="129" spans="1:18" x14ac:dyDescent="0.3">
      <c r="A129" s="8">
        <v>20190626</v>
      </c>
      <c r="B129" s="9">
        <v>107.31</v>
      </c>
      <c r="C129" s="9">
        <v>26.07</v>
      </c>
      <c r="D129" s="54">
        <f t="shared" si="3"/>
        <v>4.1162255466052935</v>
      </c>
      <c r="Q129" s="52"/>
      <c r="R129" s="52"/>
    </row>
    <row r="130" spans="1:18" x14ac:dyDescent="0.3">
      <c r="A130" s="8">
        <v>20190627</v>
      </c>
      <c r="B130" s="9">
        <v>107.57</v>
      </c>
      <c r="C130" s="9">
        <v>26.09</v>
      </c>
      <c r="D130" s="54">
        <f t="shared" si="3"/>
        <v>4.123035645841318</v>
      </c>
      <c r="Q130" s="52"/>
      <c r="R130" s="52"/>
    </row>
    <row r="131" spans="1:18" x14ac:dyDescent="0.3">
      <c r="A131" s="8">
        <v>20190628</v>
      </c>
      <c r="B131" s="9">
        <v>107.6</v>
      </c>
      <c r="C131" s="9">
        <v>26.14</v>
      </c>
      <c r="D131" s="54">
        <f t="shared" si="3"/>
        <v>4.1162968630451413</v>
      </c>
      <c r="Q131" s="52"/>
      <c r="R131" s="52"/>
    </row>
    <row r="132" spans="1:18" x14ac:dyDescent="0.3">
      <c r="A132" s="8">
        <v>20190701</v>
      </c>
      <c r="B132" s="9">
        <v>107.29</v>
      </c>
      <c r="C132" s="9">
        <v>26.04</v>
      </c>
      <c r="D132" s="54">
        <f t="shared" si="3"/>
        <v>4.1201996927803384</v>
      </c>
      <c r="Q132" s="52"/>
      <c r="R132" s="52"/>
    </row>
    <row r="133" spans="1:18" x14ac:dyDescent="0.3">
      <c r="A133" s="8">
        <v>20190702</v>
      </c>
      <c r="B133" s="9">
        <v>107.5</v>
      </c>
      <c r="C133" s="9">
        <v>26.09</v>
      </c>
      <c r="D133" s="54">
        <f t="shared" si="3"/>
        <v>4.1203526255270218</v>
      </c>
      <c r="Q133" s="52"/>
      <c r="R133" s="52"/>
    </row>
    <row r="134" spans="1:18" x14ac:dyDescent="0.3">
      <c r="A134" s="8">
        <v>20190703</v>
      </c>
      <c r="B134" s="9">
        <v>107.57</v>
      </c>
      <c r="C134" s="9">
        <v>26.06</v>
      </c>
      <c r="D134" s="54">
        <f t="shared" si="3"/>
        <v>4.1277820414428241</v>
      </c>
      <c r="Q134" s="52"/>
      <c r="R134" s="52"/>
    </row>
    <row r="135" spans="1:18" x14ac:dyDescent="0.3">
      <c r="A135" s="8">
        <v>20190705</v>
      </c>
      <c r="B135" s="9">
        <v>107.43</v>
      </c>
      <c r="C135" s="9">
        <v>26.12</v>
      </c>
      <c r="D135" s="54">
        <f t="shared" si="3"/>
        <v>4.1129402756508426</v>
      </c>
      <c r="Q135" s="52"/>
      <c r="R135" s="52"/>
    </row>
    <row r="136" spans="1:18" x14ac:dyDescent="0.3">
      <c r="A136" s="8">
        <v>20190708</v>
      </c>
      <c r="B136" s="9">
        <v>107.35</v>
      </c>
      <c r="C136" s="9">
        <v>26.06</v>
      </c>
      <c r="D136" s="54">
        <f t="shared" si="3"/>
        <v>4.1193399846508054</v>
      </c>
      <c r="Q136" s="52"/>
      <c r="R136" s="52"/>
    </row>
    <row r="137" spans="1:18" x14ac:dyDescent="0.3">
      <c r="A137" s="8">
        <v>20190709</v>
      </c>
      <c r="B137" s="9">
        <v>107.28</v>
      </c>
      <c r="C137" s="9">
        <v>26.05</v>
      </c>
      <c r="D137" s="54">
        <f t="shared" ref="D137:D200" si="4">B137/C137</f>
        <v>4.1182341650671788</v>
      </c>
      <c r="Q137" s="52"/>
      <c r="R137" s="52"/>
    </row>
    <row r="138" spans="1:18" x14ac:dyDescent="0.3">
      <c r="A138" s="8">
        <v>20190710</v>
      </c>
      <c r="B138" s="9">
        <v>107.46</v>
      </c>
      <c r="C138" s="9">
        <v>26.09</v>
      </c>
      <c r="D138" s="54">
        <f t="shared" si="4"/>
        <v>4.118819471061709</v>
      </c>
      <c r="Q138" s="52"/>
      <c r="R138" s="52"/>
    </row>
    <row r="139" spans="1:18" x14ac:dyDescent="0.3">
      <c r="A139" s="8">
        <v>20190711</v>
      </c>
      <c r="B139" s="9">
        <v>107.22</v>
      </c>
      <c r="C139" s="9">
        <v>26.05</v>
      </c>
      <c r="D139" s="54">
        <f t="shared" si="4"/>
        <v>4.115930902111324</v>
      </c>
      <c r="Q139" s="52"/>
      <c r="R139" s="52"/>
    </row>
    <row r="140" spans="1:18" x14ac:dyDescent="0.3">
      <c r="A140" s="8">
        <v>20190712</v>
      </c>
      <c r="B140" s="9">
        <v>107.34</v>
      </c>
      <c r="C140" s="9">
        <v>26.05</v>
      </c>
      <c r="D140" s="54">
        <f t="shared" si="4"/>
        <v>4.1205374280230327</v>
      </c>
      <c r="Q140" s="52"/>
      <c r="R140" s="52"/>
    </row>
    <row r="141" spans="1:18" x14ac:dyDescent="0.3">
      <c r="A141" s="8">
        <v>20190715</v>
      </c>
      <c r="B141" s="9">
        <v>107.42</v>
      </c>
      <c r="C141" s="9">
        <v>26.07</v>
      </c>
      <c r="D141" s="54">
        <f t="shared" si="4"/>
        <v>4.1204449558879936</v>
      </c>
      <c r="Q141" s="52"/>
      <c r="R141" s="52"/>
    </row>
    <row r="142" spans="1:18" x14ac:dyDescent="0.3">
      <c r="A142" s="8">
        <v>20190716</v>
      </c>
      <c r="B142" s="9">
        <v>107.33</v>
      </c>
      <c r="C142" s="9">
        <v>26.05</v>
      </c>
      <c r="D142" s="54">
        <f t="shared" si="4"/>
        <v>4.1201535508637237</v>
      </c>
      <c r="Q142" s="52"/>
      <c r="R142" s="52"/>
    </row>
    <row r="143" spans="1:18" x14ac:dyDescent="0.3">
      <c r="A143" s="8">
        <v>20190717</v>
      </c>
      <c r="B143" s="9">
        <v>107.57</v>
      </c>
      <c r="C143" s="9">
        <v>26.09</v>
      </c>
      <c r="D143" s="54">
        <f t="shared" si="4"/>
        <v>4.123035645841318</v>
      </c>
      <c r="Q143" s="52"/>
      <c r="R143" s="52"/>
    </row>
    <row r="144" spans="1:18" x14ac:dyDescent="0.3">
      <c r="A144" s="8">
        <v>20190718</v>
      </c>
      <c r="B144" s="9">
        <v>107.7</v>
      </c>
      <c r="C144" s="9">
        <v>26.18</v>
      </c>
      <c r="D144" s="54">
        <f t="shared" si="4"/>
        <v>4.1138273491214665</v>
      </c>
      <c r="Q144" s="52"/>
      <c r="R144" s="52"/>
    </row>
    <row r="145" spans="1:18" x14ac:dyDescent="0.3">
      <c r="A145" s="8">
        <v>20190719</v>
      </c>
      <c r="B145" s="9">
        <v>107.71</v>
      </c>
      <c r="C145" s="9">
        <v>26.15</v>
      </c>
      <c r="D145" s="54">
        <f t="shared" si="4"/>
        <v>4.1189292543021034</v>
      </c>
      <c r="Q145" s="52"/>
      <c r="R145" s="52"/>
    </row>
    <row r="146" spans="1:18" x14ac:dyDescent="0.3">
      <c r="A146" s="8">
        <v>20190722</v>
      </c>
      <c r="B146" s="9">
        <v>107.68</v>
      </c>
      <c r="C146" s="9">
        <v>26.13</v>
      </c>
      <c r="D146" s="54">
        <f t="shared" si="4"/>
        <v>4.1209337925755838</v>
      </c>
      <c r="Q146" s="52"/>
      <c r="R146" s="52"/>
    </row>
    <row r="147" spans="1:18" x14ac:dyDescent="0.3">
      <c r="A147" s="8">
        <v>20190723</v>
      </c>
      <c r="B147" s="9">
        <v>107.71</v>
      </c>
      <c r="C147" s="9">
        <v>26.08</v>
      </c>
      <c r="D147" s="54">
        <f t="shared" si="4"/>
        <v>4.1299846625766872</v>
      </c>
      <c r="Q147" s="52"/>
      <c r="R147" s="52"/>
    </row>
    <row r="148" spans="1:18" x14ac:dyDescent="0.3">
      <c r="A148" s="8">
        <v>20190724</v>
      </c>
      <c r="B148" s="9">
        <v>107.79</v>
      </c>
      <c r="C148" s="9">
        <v>26.14</v>
      </c>
      <c r="D148" s="54">
        <f t="shared" si="4"/>
        <v>4.1235654169854632</v>
      </c>
      <c r="Q148" s="52"/>
      <c r="R148" s="52"/>
    </row>
    <row r="149" spans="1:18" x14ac:dyDescent="0.3">
      <c r="A149" s="8">
        <v>20190725</v>
      </c>
      <c r="B149" s="9">
        <v>107.73</v>
      </c>
      <c r="C149" s="9">
        <v>26.08</v>
      </c>
      <c r="D149" s="54">
        <f t="shared" si="4"/>
        <v>4.1307515337423313</v>
      </c>
      <c r="Q149" s="52"/>
      <c r="R149" s="52"/>
    </row>
    <row r="150" spans="1:18" x14ac:dyDescent="0.3">
      <c r="A150" s="8">
        <v>20190726</v>
      </c>
      <c r="B150" s="9">
        <v>107.67</v>
      </c>
      <c r="C150" s="9">
        <v>26.12</v>
      </c>
      <c r="D150" s="54">
        <f t="shared" si="4"/>
        <v>4.1221286370597241</v>
      </c>
      <c r="Q150" s="52"/>
      <c r="R150" s="52"/>
    </row>
    <row r="151" spans="1:18" x14ac:dyDescent="0.3">
      <c r="A151" s="8">
        <v>20190729</v>
      </c>
      <c r="B151" s="9">
        <v>107.67</v>
      </c>
      <c r="C151" s="9">
        <v>26.08</v>
      </c>
      <c r="D151" s="54">
        <f t="shared" si="4"/>
        <v>4.1284509202453989</v>
      </c>
      <c r="Q151" s="52"/>
      <c r="R151" s="52"/>
    </row>
    <row r="152" spans="1:18" x14ac:dyDescent="0.3">
      <c r="A152" s="8">
        <v>20190730</v>
      </c>
      <c r="B152" s="9">
        <v>107.66</v>
      </c>
      <c r="C152" s="9">
        <v>26.09</v>
      </c>
      <c r="D152" s="54">
        <f t="shared" si="4"/>
        <v>4.1264852433882711</v>
      </c>
      <c r="Q152" s="52"/>
      <c r="R152" s="52"/>
    </row>
    <row r="153" spans="1:18" x14ac:dyDescent="0.3">
      <c r="A153" s="8">
        <v>20190731</v>
      </c>
      <c r="B153" s="9">
        <v>107.73</v>
      </c>
      <c r="C153" s="9">
        <v>26.21</v>
      </c>
      <c r="D153" s="54">
        <f t="shared" si="4"/>
        <v>4.1102632582983594</v>
      </c>
      <c r="Q153" s="52"/>
      <c r="R153" s="52"/>
    </row>
    <row r="154" spans="1:18" x14ac:dyDescent="0.3">
      <c r="A154" s="8">
        <v>20190801</v>
      </c>
      <c r="B154" s="9">
        <v>107.81</v>
      </c>
      <c r="C154" s="9">
        <v>26.14</v>
      </c>
      <c r="D154" s="54">
        <f t="shared" si="4"/>
        <v>4.1243305279265492</v>
      </c>
      <c r="Q154" s="52"/>
      <c r="R154" s="52"/>
    </row>
    <row r="155" spans="1:18" x14ac:dyDescent="0.3">
      <c r="A155" s="8">
        <v>20190802</v>
      </c>
      <c r="B155" s="9">
        <v>107.79</v>
      </c>
      <c r="C155" s="9">
        <v>26.21</v>
      </c>
      <c r="D155" s="54">
        <f t="shared" si="4"/>
        <v>4.1125524608927888</v>
      </c>
      <c r="Q155" s="52"/>
      <c r="R155" s="52"/>
    </row>
    <row r="156" spans="1:18" x14ac:dyDescent="0.3">
      <c r="A156" s="8">
        <v>20190805</v>
      </c>
      <c r="B156" s="9">
        <v>108.04</v>
      </c>
      <c r="C156" s="9">
        <v>26.24</v>
      </c>
      <c r="D156" s="54">
        <f t="shared" si="4"/>
        <v>4.1173780487804885</v>
      </c>
      <c r="Q156" s="52"/>
      <c r="R156" s="52"/>
    </row>
    <row r="157" spans="1:18" x14ac:dyDescent="0.3">
      <c r="A157" s="8">
        <v>20190806</v>
      </c>
      <c r="B157" s="9">
        <v>108.05</v>
      </c>
      <c r="C157" s="9">
        <v>26.23</v>
      </c>
      <c r="D157" s="54">
        <f t="shared" si="4"/>
        <v>4.119329012581014</v>
      </c>
      <c r="Q157" s="52"/>
      <c r="R157" s="52"/>
    </row>
    <row r="158" spans="1:18" x14ac:dyDescent="0.3">
      <c r="A158" s="8">
        <v>20190807</v>
      </c>
      <c r="B158" s="9">
        <v>107.99</v>
      </c>
      <c r="C158" s="9">
        <v>26.21</v>
      </c>
      <c r="D158" s="54">
        <f t="shared" si="4"/>
        <v>4.1201831362075536</v>
      </c>
      <c r="Q158" s="52"/>
      <c r="R158" s="52"/>
    </row>
    <row r="159" spans="1:18" x14ac:dyDescent="0.3">
      <c r="A159" s="8">
        <v>20190808</v>
      </c>
      <c r="B159" s="9">
        <v>108.06</v>
      </c>
      <c r="C159" s="9">
        <v>26.2</v>
      </c>
      <c r="D159" s="54">
        <f t="shared" si="4"/>
        <v>4.1244274809160304</v>
      </c>
      <c r="Q159" s="52"/>
      <c r="R159" s="52"/>
    </row>
    <row r="160" spans="1:18" x14ac:dyDescent="0.3">
      <c r="A160" s="8">
        <v>20190809</v>
      </c>
      <c r="B160" s="9">
        <v>107.93</v>
      </c>
      <c r="C160" s="9">
        <v>26.18</v>
      </c>
      <c r="D160" s="54">
        <f t="shared" si="4"/>
        <v>4.1226126814362107</v>
      </c>
      <c r="Q160" s="52"/>
      <c r="R160" s="52"/>
    </row>
    <row r="161" spans="1:18" x14ac:dyDescent="0.3">
      <c r="A161" s="8">
        <v>20190812</v>
      </c>
      <c r="B161" s="9">
        <v>108.04</v>
      </c>
      <c r="C161" s="9">
        <v>26.15</v>
      </c>
      <c r="D161" s="54">
        <f t="shared" si="4"/>
        <v>4.1315487571701723</v>
      </c>
      <c r="Q161" s="52"/>
      <c r="R161" s="52"/>
    </row>
    <row r="162" spans="1:18" x14ac:dyDescent="0.3">
      <c r="A162" s="8">
        <v>20190813</v>
      </c>
      <c r="B162" s="9">
        <v>107.84</v>
      </c>
      <c r="C162" s="9">
        <v>26.12</v>
      </c>
      <c r="D162" s="54">
        <f t="shared" si="4"/>
        <v>4.1286370597243494</v>
      </c>
      <c r="Q162" s="52"/>
      <c r="R162" s="52"/>
    </row>
    <row r="163" spans="1:18" x14ac:dyDescent="0.3">
      <c r="A163" s="8">
        <v>20190814</v>
      </c>
      <c r="B163" s="9">
        <v>107.86</v>
      </c>
      <c r="C163" s="9">
        <v>26.15</v>
      </c>
      <c r="D163" s="54">
        <f t="shared" si="4"/>
        <v>4.1246653919694074</v>
      </c>
      <c r="Q163" s="52"/>
      <c r="R163" s="52"/>
    </row>
    <row r="164" spans="1:18" x14ac:dyDescent="0.3">
      <c r="A164" s="8">
        <v>20190815</v>
      </c>
      <c r="B164" s="9">
        <v>108.21</v>
      </c>
      <c r="C164" s="9">
        <v>26.22</v>
      </c>
      <c r="D164" s="54">
        <f t="shared" si="4"/>
        <v>4.1270022883295194</v>
      </c>
      <c r="Q164" s="52"/>
      <c r="R164" s="52"/>
    </row>
    <row r="165" spans="1:18" x14ac:dyDescent="0.3">
      <c r="A165" s="8">
        <v>20190816</v>
      </c>
      <c r="B165" s="9">
        <v>108.13</v>
      </c>
      <c r="C165" s="9">
        <v>26.22</v>
      </c>
      <c r="D165" s="54">
        <f t="shared" si="4"/>
        <v>4.1239511823035855</v>
      </c>
      <c r="Q165" s="52"/>
      <c r="R165" s="52"/>
    </row>
    <row r="166" spans="1:18" x14ac:dyDescent="0.3">
      <c r="A166" s="8">
        <v>20190819</v>
      </c>
      <c r="B166" s="9">
        <v>108.11</v>
      </c>
      <c r="C166" s="9">
        <v>26.22</v>
      </c>
      <c r="D166" s="54">
        <f t="shared" si="4"/>
        <v>4.1231884057971016</v>
      </c>
      <c r="Q166" s="52"/>
      <c r="R166" s="52"/>
    </row>
    <row r="167" spans="1:18" x14ac:dyDescent="0.3">
      <c r="A167" s="8">
        <v>20190820</v>
      </c>
      <c r="B167" s="9">
        <v>108.2</v>
      </c>
      <c r="C167" s="9">
        <v>26.26</v>
      </c>
      <c r="D167" s="54">
        <f t="shared" si="4"/>
        <v>4.1203351104341204</v>
      </c>
      <c r="Q167" s="52"/>
      <c r="R167" s="52"/>
    </row>
    <row r="168" spans="1:18" x14ac:dyDescent="0.3">
      <c r="A168" s="8">
        <v>20190821</v>
      </c>
      <c r="B168" s="9">
        <v>108.2</v>
      </c>
      <c r="C168" s="9">
        <v>26.25</v>
      </c>
      <c r="D168" s="54">
        <f t="shared" si="4"/>
        <v>4.1219047619047622</v>
      </c>
      <c r="Q168" s="52"/>
      <c r="R168" s="52"/>
    </row>
    <row r="169" spans="1:18" x14ac:dyDescent="0.3">
      <c r="A169" s="8">
        <v>20190822</v>
      </c>
      <c r="B169" s="9">
        <v>108.14</v>
      </c>
      <c r="C169" s="9">
        <v>26.23</v>
      </c>
      <c r="D169" s="54">
        <f t="shared" si="4"/>
        <v>4.1227601982462829</v>
      </c>
      <c r="Q169" s="52"/>
      <c r="R169" s="52"/>
    </row>
    <row r="170" spans="1:18" x14ac:dyDescent="0.3">
      <c r="A170" s="8">
        <v>20190823</v>
      </c>
      <c r="B170" s="9">
        <v>108.32</v>
      </c>
      <c r="C170" s="9">
        <v>26.24</v>
      </c>
      <c r="D170" s="54">
        <f t="shared" si="4"/>
        <v>4.1280487804878048</v>
      </c>
      <c r="Q170" s="52"/>
      <c r="R170" s="52"/>
    </row>
    <row r="171" spans="1:18" x14ac:dyDescent="0.3">
      <c r="A171" s="8">
        <v>20190826</v>
      </c>
      <c r="B171" s="9">
        <v>108.09</v>
      </c>
      <c r="C171" s="9">
        <v>26.21</v>
      </c>
      <c r="D171" s="54">
        <f t="shared" si="4"/>
        <v>4.1239984738649369</v>
      </c>
      <c r="Q171" s="52"/>
      <c r="R171" s="52"/>
    </row>
    <row r="172" spans="1:18" x14ac:dyDescent="0.3">
      <c r="A172" s="8">
        <v>20190827</v>
      </c>
      <c r="B172" s="9">
        <v>108.27</v>
      </c>
      <c r="C172" s="9">
        <v>26.27</v>
      </c>
      <c r="D172" s="54">
        <f t="shared" si="4"/>
        <v>4.1214312904453747</v>
      </c>
      <c r="Q172" s="52"/>
      <c r="R172" s="52"/>
    </row>
    <row r="173" spans="1:18" x14ac:dyDescent="0.3">
      <c r="A173" s="8">
        <v>20190828</v>
      </c>
      <c r="B173" s="9">
        <v>108.3</v>
      </c>
      <c r="C173" s="9">
        <v>26.27</v>
      </c>
      <c r="D173" s="54">
        <f t="shared" si="4"/>
        <v>4.1225732775028545</v>
      </c>
      <c r="Q173" s="52"/>
      <c r="R173" s="52"/>
    </row>
    <row r="174" spans="1:18" x14ac:dyDescent="0.3">
      <c r="A174" s="8">
        <v>20190829</v>
      </c>
      <c r="B174" s="9">
        <v>108.34</v>
      </c>
      <c r="C174" s="9">
        <v>26.28</v>
      </c>
      <c r="D174" s="54">
        <f t="shared" si="4"/>
        <v>4.1225266362252659</v>
      </c>
      <c r="Q174" s="52"/>
      <c r="R174" s="52"/>
    </row>
    <row r="175" spans="1:18" x14ac:dyDescent="0.3">
      <c r="A175" s="8">
        <v>20190830</v>
      </c>
      <c r="B175" s="9">
        <v>108.5</v>
      </c>
      <c r="C175" s="9">
        <v>26.32</v>
      </c>
      <c r="D175" s="54">
        <f t="shared" si="4"/>
        <v>4.1223404255319149</v>
      </c>
      <c r="Q175" s="52"/>
      <c r="R175" s="52"/>
    </row>
    <row r="176" spans="1:18" x14ac:dyDescent="0.3">
      <c r="A176" s="8">
        <v>20190903</v>
      </c>
      <c r="B176" s="9">
        <v>108.32</v>
      </c>
      <c r="C176" s="9">
        <v>26.25</v>
      </c>
      <c r="D176" s="54">
        <f t="shared" si="4"/>
        <v>4.1264761904761906</v>
      </c>
      <c r="Q176" s="52"/>
      <c r="R176" s="52"/>
    </row>
    <row r="177" spans="1:18" x14ac:dyDescent="0.3">
      <c r="A177" s="8">
        <v>20190904</v>
      </c>
      <c r="B177" s="9">
        <v>108.47</v>
      </c>
      <c r="C177" s="9">
        <v>26.34</v>
      </c>
      <c r="D177" s="54">
        <f t="shared" si="4"/>
        <v>4.118071374335611</v>
      </c>
      <c r="Q177" s="52"/>
      <c r="R177" s="52"/>
    </row>
    <row r="178" spans="1:18" x14ac:dyDescent="0.3">
      <c r="A178" s="8">
        <v>20190905</v>
      </c>
      <c r="B178" s="9">
        <v>108.21</v>
      </c>
      <c r="C178" s="9">
        <v>26.27</v>
      </c>
      <c r="D178" s="54">
        <f t="shared" si="4"/>
        <v>4.1191473163304151</v>
      </c>
      <c r="Q178" s="52"/>
      <c r="R178" s="52"/>
    </row>
    <row r="179" spans="1:18" x14ac:dyDescent="0.3">
      <c r="A179" s="8">
        <v>20190906</v>
      </c>
      <c r="B179" s="9">
        <v>108.22</v>
      </c>
      <c r="C179" s="9">
        <v>26.28</v>
      </c>
      <c r="D179" s="54">
        <f t="shared" si="4"/>
        <v>4.1179604261796037</v>
      </c>
      <c r="Q179" s="52"/>
      <c r="R179" s="52"/>
    </row>
    <row r="180" spans="1:18" x14ac:dyDescent="0.3">
      <c r="A180" s="8">
        <v>20190909</v>
      </c>
      <c r="B180" s="9">
        <v>108.3</v>
      </c>
      <c r="C180" s="9">
        <v>26.28</v>
      </c>
      <c r="D180" s="54">
        <f t="shared" si="4"/>
        <v>4.1210045662100452</v>
      </c>
      <c r="Q180" s="52"/>
      <c r="R180" s="52"/>
    </row>
    <row r="181" spans="1:18" x14ac:dyDescent="0.3">
      <c r="A181" s="8">
        <v>20190910</v>
      </c>
      <c r="B181" s="9">
        <v>107.88</v>
      </c>
      <c r="C181" s="9">
        <v>26.17</v>
      </c>
      <c r="D181" s="54">
        <f t="shared" si="4"/>
        <v>4.1222774168895677</v>
      </c>
      <c r="Q181" s="52"/>
      <c r="R181" s="52"/>
    </row>
    <row r="182" spans="1:18" x14ac:dyDescent="0.3">
      <c r="A182" s="8">
        <v>20190911</v>
      </c>
      <c r="B182" s="9">
        <v>107.97</v>
      </c>
      <c r="C182" s="9">
        <v>26.16</v>
      </c>
      <c r="D182" s="54">
        <f t="shared" si="4"/>
        <v>4.1272935779816518</v>
      </c>
      <c r="Q182" s="52"/>
      <c r="R182" s="52"/>
    </row>
    <row r="183" spans="1:18" x14ac:dyDescent="0.3">
      <c r="A183" s="8">
        <v>20190912</v>
      </c>
      <c r="B183" s="9">
        <v>107.97</v>
      </c>
      <c r="C183" s="9">
        <v>26.18</v>
      </c>
      <c r="D183" s="54">
        <f t="shared" si="4"/>
        <v>4.1241405653170355</v>
      </c>
      <c r="Q183" s="52"/>
      <c r="R183" s="52"/>
    </row>
    <row r="184" spans="1:18" x14ac:dyDescent="0.3">
      <c r="A184" s="8">
        <v>20190913</v>
      </c>
      <c r="B184" s="9">
        <v>107.7</v>
      </c>
      <c r="C184" s="9">
        <v>26.12</v>
      </c>
      <c r="D184" s="54">
        <f t="shared" si="4"/>
        <v>4.1232771822358343</v>
      </c>
      <c r="Q184" s="52"/>
      <c r="R184" s="52"/>
    </row>
    <row r="185" spans="1:18" x14ac:dyDescent="0.3">
      <c r="A185" s="8">
        <v>20190916</v>
      </c>
      <c r="B185" s="9">
        <v>107.93</v>
      </c>
      <c r="C185" s="9">
        <v>26.21</v>
      </c>
      <c r="D185" s="54">
        <f t="shared" si="4"/>
        <v>4.1178939336131251</v>
      </c>
      <c r="Q185" s="52"/>
      <c r="R185" s="52"/>
    </row>
    <row r="186" spans="1:18" x14ac:dyDescent="0.3">
      <c r="A186" s="8">
        <v>20190917</v>
      </c>
      <c r="B186" s="9">
        <v>107.97</v>
      </c>
      <c r="C186" s="9">
        <v>26.2</v>
      </c>
      <c r="D186" s="54">
        <f t="shared" si="4"/>
        <v>4.1209923664122137</v>
      </c>
      <c r="Q186" s="52"/>
      <c r="R186" s="52"/>
    </row>
    <row r="187" spans="1:18" x14ac:dyDescent="0.3">
      <c r="A187" s="8">
        <v>20190918</v>
      </c>
      <c r="B187" s="9">
        <v>108.01</v>
      </c>
      <c r="C187" s="9">
        <v>26.22</v>
      </c>
      <c r="D187" s="54">
        <f t="shared" si="4"/>
        <v>4.1193745232646837</v>
      </c>
      <c r="Q187" s="52"/>
      <c r="R187" s="52"/>
    </row>
    <row r="188" spans="1:18" x14ac:dyDescent="0.3">
      <c r="A188" s="8">
        <v>20190919</v>
      </c>
      <c r="B188" s="9">
        <v>107.98</v>
      </c>
      <c r="C188" s="9">
        <v>26.2</v>
      </c>
      <c r="D188" s="54">
        <f t="shared" si="4"/>
        <v>4.1213740458015273</v>
      </c>
      <c r="Q188" s="52"/>
      <c r="R188" s="52"/>
    </row>
    <row r="189" spans="1:18" x14ac:dyDescent="0.3">
      <c r="A189" s="8">
        <v>20190920</v>
      </c>
      <c r="B189" s="9">
        <v>108.06</v>
      </c>
      <c r="C189" s="9"/>
      <c r="D189" s="54"/>
      <c r="Q189" s="52"/>
      <c r="R189" s="52"/>
    </row>
    <row r="190" spans="1:18" x14ac:dyDescent="0.3">
      <c r="A190" s="8">
        <v>20190923</v>
      </c>
      <c r="B190" s="9">
        <v>108.1</v>
      </c>
      <c r="C190" s="9">
        <v>26.25</v>
      </c>
      <c r="D190" s="54">
        <f t="shared" si="4"/>
        <v>4.118095238095238</v>
      </c>
      <c r="Q190" s="52"/>
      <c r="R190" s="52"/>
    </row>
    <row r="191" spans="1:18" x14ac:dyDescent="0.3">
      <c r="A191" s="8">
        <v>20190924</v>
      </c>
      <c r="B191" s="9">
        <v>108.21</v>
      </c>
      <c r="C191" s="9">
        <v>26.3</v>
      </c>
      <c r="D191" s="54">
        <f t="shared" si="4"/>
        <v>4.1144486692015203</v>
      </c>
      <c r="Q191" s="52"/>
      <c r="R191" s="52"/>
    </row>
    <row r="192" spans="1:18" x14ac:dyDescent="0.3">
      <c r="A192" s="8">
        <v>20190925</v>
      </c>
      <c r="B192" s="9">
        <v>108.03</v>
      </c>
      <c r="C192" s="9">
        <v>26.21</v>
      </c>
      <c r="D192" s="54">
        <f t="shared" si="4"/>
        <v>4.1217092712705075</v>
      </c>
      <c r="Q192" s="52"/>
      <c r="R192" s="52"/>
    </row>
    <row r="193" spans="1:18" x14ac:dyDescent="0.3">
      <c r="A193" s="8">
        <v>20190926</v>
      </c>
      <c r="B193" s="9">
        <v>108.14</v>
      </c>
      <c r="C193" s="9">
        <v>26.23</v>
      </c>
      <c r="D193" s="54">
        <f t="shared" si="4"/>
        <v>4.1227601982462829</v>
      </c>
      <c r="Q193" s="52"/>
      <c r="R193" s="52"/>
    </row>
    <row r="194" spans="1:18" x14ac:dyDescent="0.3">
      <c r="A194" s="8">
        <v>20190927</v>
      </c>
      <c r="B194" s="9">
        <v>108.26</v>
      </c>
      <c r="C194" s="9">
        <v>26.24</v>
      </c>
      <c r="D194" s="54">
        <f t="shared" si="4"/>
        <v>4.1257621951219514</v>
      </c>
      <c r="Q194" s="52"/>
      <c r="R194" s="52"/>
    </row>
    <row r="195" spans="1:18" x14ac:dyDescent="0.3">
      <c r="A195" s="8">
        <v>20190930</v>
      </c>
      <c r="B195" s="9">
        <v>108.3</v>
      </c>
      <c r="C195" s="9">
        <v>26.27</v>
      </c>
      <c r="D195" s="54">
        <f t="shared" si="4"/>
        <v>4.1225732775028545</v>
      </c>
      <c r="Q195" s="52"/>
      <c r="R195" s="52"/>
    </row>
    <row r="196" spans="1:18" x14ac:dyDescent="0.3">
      <c r="A196" s="8">
        <v>20191001</v>
      </c>
      <c r="B196" s="9">
        <v>108.09</v>
      </c>
      <c r="C196" s="9">
        <v>26.16</v>
      </c>
      <c r="D196" s="54">
        <f t="shared" si="4"/>
        <v>4.1318807339449544</v>
      </c>
      <c r="Q196" s="52"/>
      <c r="R196" s="52"/>
    </row>
    <row r="197" spans="1:18" x14ac:dyDescent="0.3">
      <c r="A197" s="8">
        <v>20191002</v>
      </c>
      <c r="B197" s="9">
        <v>108.2</v>
      </c>
      <c r="C197" s="9">
        <v>26.21</v>
      </c>
      <c r="D197" s="54">
        <f t="shared" si="4"/>
        <v>4.1281953452880575</v>
      </c>
      <c r="Q197" s="52"/>
      <c r="R197" s="52"/>
    </row>
    <row r="198" spans="1:18" x14ac:dyDescent="0.3">
      <c r="A198" s="8">
        <v>20191003</v>
      </c>
      <c r="B198" s="9">
        <v>108.29</v>
      </c>
      <c r="C198" s="9">
        <v>26.29</v>
      </c>
      <c r="D198" s="54">
        <f t="shared" si="4"/>
        <v>4.1190566755420317</v>
      </c>
      <c r="Q198" s="52"/>
      <c r="R198" s="52"/>
    </row>
    <row r="199" spans="1:18" x14ac:dyDescent="0.3">
      <c r="A199" s="8">
        <v>20191004</v>
      </c>
      <c r="B199" s="9">
        <v>108.38</v>
      </c>
      <c r="C199" s="9">
        <v>26.29</v>
      </c>
      <c r="D199" s="54">
        <f t="shared" si="4"/>
        <v>4.1224800304298208</v>
      </c>
      <c r="Q199" s="52"/>
      <c r="R199" s="52"/>
    </row>
    <row r="200" spans="1:18" x14ac:dyDescent="0.3">
      <c r="A200" s="8">
        <v>20191007</v>
      </c>
      <c r="B200" s="9">
        <v>108.21</v>
      </c>
      <c r="C200" s="9">
        <v>26.27</v>
      </c>
      <c r="D200" s="54">
        <f t="shared" si="4"/>
        <v>4.1191473163304151</v>
      </c>
      <c r="Q200" s="52"/>
      <c r="R200" s="52"/>
    </row>
    <row r="201" spans="1:18" x14ac:dyDescent="0.3">
      <c r="A201" s="8">
        <v>20191008</v>
      </c>
      <c r="B201" s="9">
        <v>108.24</v>
      </c>
      <c r="C201" s="9">
        <v>26.22</v>
      </c>
      <c r="D201" s="54">
        <f t="shared" ref="D201:D259" si="5">B201/C201</f>
        <v>4.1281464530892444</v>
      </c>
      <c r="Q201" s="52"/>
      <c r="R201" s="52"/>
    </row>
    <row r="202" spans="1:18" x14ac:dyDescent="0.3">
      <c r="A202" s="8">
        <v>20191009</v>
      </c>
      <c r="B202" s="9">
        <v>108.28</v>
      </c>
      <c r="C202" s="9">
        <v>26.22</v>
      </c>
      <c r="D202" s="54">
        <f t="shared" si="5"/>
        <v>4.1296720061022123</v>
      </c>
      <c r="Q202" s="52"/>
      <c r="R202" s="52"/>
    </row>
    <row r="203" spans="1:18" x14ac:dyDescent="0.3">
      <c r="A203" s="8">
        <v>20191010</v>
      </c>
      <c r="B203" s="9">
        <v>108.1</v>
      </c>
      <c r="C203" s="9">
        <v>26.22</v>
      </c>
      <c r="D203" s="54">
        <f t="shared" si="5"/>
        <v>4.1228070175438596</v>
      </c>
      <c r="Q203" s="52"/>
      <c r="R203" s="52"/>
    </row>
    <row r="204" spans="1:18" x14ac:dyDescent="0.3">
      <c r="A204" s="8">
        <v>20191011</v>
      </c>
      <c r="B204" s="9">
        <v>108</v>
      </c>
      <c r="C204" s="9">
        <v>26.16</v>
      </c>
      <c r="D204" s="54">
        <f t="shared" si="5"/>
        <v>4.1284403669724767</v>
      </c>
      <c r="Q204" s="52"/>
      <c r="R204" s="52"/>
    </row>
    <row r="205" spans="1:18" x14ac:dyDescent="0.3">
      <c r="A205" s="8">
        <v>20191014</v>
      </c>
      <c r="B205" s="9">
        <v>108.05</v>
      </c>
      <c r="C205" s="9">
        <v>26.27</v>
      </c>
      <c r="D205" s="54">
        <f t="shared" si="5"/>
        <v>4.1130567186905216</v>
      </c>
      <c r="Q205" s="52"/>
      <c r="R205" s="52"/>
    </row>
    <row r="206" spans="1:18" x14ac:dyDescent="0.3">
      <c r="A206" s="8">
        <v>20191015</v>
      </c>
      <c r="B206" s="9">
        <v>108</v>
      </c>
      <c r="C206" s="9">
        <v>26.19</v>
      </c>
      <c r="D206" s="54">
        <f t="shared" si="5"/>
        <v>4.1237113402061851</v>
      </c>
      <c r="Q206" s="52"/>
      <c r="R206" s="52"/>
    </row>
    <row r="207" spans="1:18" x14ac:dyDescent="0.3">
      <c r="A207" s="8">
        <v>20191016</v>
      </c>
      <c r="B207" s="9">
        <v>108.04</v>
      </c>
      <c r="C207" s="9">
        <v>26.16</v>
      </c>
      <c r="D207" s="54">
        <f t="shared" si="5"/>
        <v>4.1299694189602452</v>
      </c>
      <c r="Q207" s="52"/>
      <c r="R207" s="52"/>
    </row>
    <row r="208" spans="1:18" x14ac:dyDescent="0.3">
      <c r="A208" s="8">
        <v>20191017</v>
      </c>
      <c r="B208" s="9">
        <v>108.08</v>
      </c>
      <c r="C208" s="9">
        <v>26.17</v>
      </c>
      <c r="D208" s="54">
        <f t="shared" si="5"/>
        <v>4.1299197554451661</v>
      </c>
      <c r="Q208" s="52"/>
      <c r="R208" s="52"/>
    </row>
    <row r="209" spans="1:18" x14ac:dyDescent="0.3">
      <c r="A209" s="8">
        <v>20191018</v>
      </c>
      <c r="B209" s="9">
        <v>108.02</v>
      </c>
      <c r="C209" s="9">
        <v>26.17</v>
      </c>
      <c r="D209" s="54">
        <f t="shared" si="5"/>
        <v>4.1276270538784861</v>
      </c>
      <c r="Q209" s="52"/>
      <c r="R209" s="52"/>
    </row>
    <row r="210" spans="1:18" x14ac:dyDescent="0.3">
      <c r="A210" s="8">
        <v>20191021</v>
      </c>
      <c r="B210" s="9">
        <v>107.92</v>
      </c>
      <c r="C210" s="9">
        <v>26.11</v>
      </c>
      <c r="D210" s="54">
        <f t="shared" si="5"/>
        <v>4.1332822673305252</v>
      </c>
      <c r="Q210" s="52"/>
      <c r="R210" s="52"/>
    </row>
    <row r="211" spans="1:18" x14ac:dyDescent="0.3">
      <c r="A211" s="8">
        <v>20191022</v>
      </c>
      <c r="B211" s="9">
        <v>107.96</v>
      </c>
      <c r="C211" s="9">
        <v>26.19</v>
      </c>
      <c r="D211" s="54">
        <f t="shared" si="5"/>
        <v>4.1221840397098122</v>
      </c>
      <c r="Q211" s="52"/>
      <c r="R211" s="52"/>
    </row>
    <row r="212" spans="1:18" x14ac:dyDescent="0.3">
      <c r="A212" s="8">
        <v>20191023</v>
      </c>
      <c r="B212" s="9">
        <v>108.08</v>
      </c>
      <c r="C212" s="9">
        <v>26.17</v>
      </c>
      <c r="D212" s="54">
        <f t="shared" si="5"/>
        <v>4.1299197554451661</v>
      </c>
      <c r="Q212" s="52"/>
      <c r="R212" s="52"/>
    </row>
    <row r="213" spans="1:18" x14ac:dyDescent="0.3">
      <c r="A213" s="8">
        <v>20191024</v>
      </c>
      <c r="B213" s="9">
        <v>108.06</v>
      </c>
      <c r="C213" s="9">
        <v>26.18</v>
      </c>
      <c r="D213" s="54">
        <f t="shared" si="5"/>
        <v>4.1275783040488925</v>
      </c>
      <c r="Q213" s="52"/>
      <c r="R213" s="52"/>
    </row>
    <row r="214" spans="1:18" x14ac:dyDescent="0.3">
      <c r="A214" s="8">
        <v>20191025</v>
      </c>
      <c r="B214" s="9">
        <v>108</v>
      </c>
      <c r="C214" s="9">
        <v>26.12</v>
      </c>
      <c r="D214" s="54">
        <f t="shared" si="5"/>
        <v>4.134762633996937</v>
      </c>
      <c r="Q214" s="52"/>
      <c r="R214" s="52"/>
    </row>
    <row r="215" spans="1:18" x14ac:dyDescent="0.3">
      <c r="A215" s="8">
        <v>20191028</v>
      </c>
      <c r="B215" s="9">
        <v>107.91</v>
      </c>
      <c r="C215" s="9">
        <v>26.11</v>
      </c>
      <c r="D215" s="54">
        <f t="shared" si="5"/>
        <v>4.1328992723094595</v>
      </c>
      <c r="Q215" s="52"/>
      <c r="R215" s="52"/>
    </row>
    <row r="216" spans="1:18" x14ac:dyDescent="0.3">
      <c r="A216" s="8">
        <v>20191029</v>
      </c>
      <c r="B216" s="9">
        <v>108.06</v>
      </c>
      <c r="C216" s="9">
        <v>26.16</v>
      </c>
      <c r="D216" s="54">
        <f t="shared" si="5"/>
        <v>4.1307339449541285</v>
      </c>
      <c r="Q216" s="52"/>
      <c r="R216" s="52"/>
    </row>
    <row r="217" spans="1:18" x14ac:dyDescent="0.3">
      <c r="A217" s="8">
        <v>20191030</v>
      </c>
      <c r="B217" s="9">
        <v>108.23</v>
      </c>
      <c r="C217" s="9">
        <v>26.28</v>
      </c>
      <c r="D217" s="54">
        <f t="shared" si="5"/>
        <v>4.1183409436834095</v>
      </c>
      <c r="Q217" s="52"/>
      <c r="R217" s="52"/>
    </row>
    <row r="218" spans="1:18" x14ac:dyDescent="0.3">
      <c r="A218" s="8">
        <v>20191031</v>
      </c>
      <c r="B218" s="9">
        <v>108.39</v>
      </c>
      <c r="C218" s="9">
        <v>26.31</v>
      </c>
      <c r="D218" s="54">
        <f t="shared" si="5"/>
        <v>4.119726339794755</v>
      </c>
      <c r="Q218" s="52"/>
      <c r="R218" s="52"/>
    </row>
    <row r="219" spans="1:18" x14ac:dyDescent="0.3">
      <c r="A219" s="8">
        <v>20191101</v>
      </c>
      <c r="B219" s="9">
        <v>108.12</v>
      </c>
      <c r="C219" s="9">
        <v>26.24</v>
      </c>
      <c r="D219" s="54">
        <f t="shared" si="5"/>
        <v>4.1204268292682933</v>
      </c>
      <c r="Q219" s="52"/>
      <c r="R219" s="52"/>
    </row>
    <row r="220" spans="1:18" x14ac:dyDescent="0.3">
      <c r="A220" s="8">
        <v>20191104</v>
      </c>
      <c r="B220" s="9">
        <v>108.1</v>
      </c>
      <c r="C220" s="9">
        <v>26.23</v>
      </c>
      <c r="D220" s="54">
        <f t="shared" si="5"/>
        <v>4.1212352268394961</v>
      </c>
      <c r="Q220" s="52"/>
      <c r="R220" s="52"/>
    </row>
    <row r="221" spans="1:18" x14ac:dyDescent="0.3">
      <c r="A221" s="8">
        <v>20191105</v>
      </c>
      <c r="B221" s="9">
        <v>107.81</v>
      </c>
      <c r="C221" s="9">
        <v>26.13</v>
      </c>
      <c r="D221" s="54">
        <f t="shared" si="5"/>
        <v>4.1259089169536933</v>
      </c>
      <c r="Q221" s="52"/>
      <c r="R221" s="52"/>
    </row>
    <row r="222" spans="1:18" x14ac:dyDescent="0.3">
      <c r="A222" s="8">
        <v>20191106</v>
      </c>
      <c r="B222" s="9">
        <v>107.93</v>
      </c>
      <c r="C222" s="9">
        <v>26.26</v>
      </c>
      <c r="D222" s="54">
        <f t="shared" si="5"/>
        <v>4.1100533130236103</v>
      </c>
      <c r="Q222" s="52"/>
      <c r="R222" s="52"/>
    </row>
    <row r="223" spans="1:18" x14ac:dyDescent="0.3">
      <c r="A223" s="8">
        <v>20191107</v>
      </c>
      <c r="B223" s="9">
        <v>107.72</v>
      </c>
      <c r="C223" s="9">
        <v>26.11</v>
      </c>
      <c r="D223" s="54">
        <f t="shared" si="5"/>
        <v>4.12562236690923</v>
      </c>
      <c r="Q223" s="52"/>
      <c r="R223" s="52"/>
    </row>
    <row r="224" spans="1:18" x14ac:dyDescent="0.3">
      <c r="A224" s="8">
        <v>20191108</v>
      </c>
      <c r="B224" s="9">
        <v>107.81</v>
      </c>
      <c r="C224" s="9">
        <v>26.17</v>
      </c>
      <c r="D224" s="54">
        <f t="shared" si="5"/>
        <v>4.119602598395109</v>
      </c>
      <c r="Q224" s="52"/>
      <c r="R224" s="52"/>
    </row>
    <row r="225" spans="1:18" x14ac:dyDescent="0.3">
      <c r="A225" s="8">
        <v>20191111</v>
      </c>
      <c r="B225" s="9">
        <v>107.83</v>
      </c>
      <c r="C225" s="9">
        <v>26.19</v>
      </c>
      <c r="D225" s="54">
        <f t="shared" si="5"/>
        <v>4.1172203130966016</v>
      </c>
      <c r="Q225" s="52"/>
      <c r="R225" s="52"/>
    </row>
    <row r="226" spans="1:18" x14ac:dyDescent="0.3">
      <c r="A226" s="8">
        <v>20191112</v>
      </c>
      <c r="B226" s="9">
        <v>107.89</v>
      </c>
      <c r="C226" s="9">
        <v>26.21</v>
      </c>
      <c r="D226" s="54">
        <f t="shared" si="5"/>
        <v>4.1163677985501712</v>
      </c>
      <c r="Q226" s="52"/>
      <c r="R226" s="52"/>
    </row>
    <row r="227" spans="1:18" x14ac:dyDescent="0.3">
      <c r="A227" s="8">
        <v>20191113</v>
      </c>
      <c r="B227" s="9">
        <v>107.9</v>
      </c>
      <c r="C227" s="9">
        <v>26.2</v>
      </c>
      <c r="D227" s="54">
        <f t="shared" si="5"/>
        <v>4.1183206106870234</v>
      </c>
      <c r="Q227" s="52"/>
      <c r="R227" s="52"/>
    </row>
    <row r="228" spans="1:18" x14ac:dyDescent="0.3">
      <c r="A228" s="8">
        <v>20191114</v>
      </c>
      <c r="B228" s="9">
        <v>108.06</v>
      </c>
      <c r="C228" s="9">
        <v>26.14</v>
      </c>
      <c r="D228" s="54">
        <f t="shared" si="5"/>
        <v>4.13389441469013</v>
      </c>
      <c r="Q228" s="52"/>
      <c r="R228" s="52"/>
    </row>
    <row r="229" spans="1:18" x14ac:dyDescent="0.3">
      <c r="A229" s="8">
        <v>20191115</v>
      </c>
      <c r="B229" s="9">
        <v>108.07</v>
      </c>
      <c r="C229" s="9">
        <v>26.23</v>
      </c>
      <c r="D229" s="54">
        <f t="shared" si="5"/>
        <v>4.120091498284407</v>
      </c>
      <c r="Q229" s="52"/>
      <c r="R229" s="52"/>
    </row>
    <row r="230" spans="1:18" x14ac:dyDescent="0.3">
      <c r="A230" s="8">
        <v>20191118</v>
      </c>
      <c r="B230" s="9">
        <v>108.12</v>
      </c>
      <c r="C230" s="9">
        <v>26.25</v>
      </c>
      <c r="D230" s="54">
        <f t="shared" si="5"/>
        <v>4.1188571428571432</v>
      </c>
      <c r="Q230" s="52"/>
      <c r="R230" s="52"/>
    </row>
    <row r="231" spans="1:18" x14ac:dyDescent="0.3">
      <c r="A231" s="8">
        <v>20191119</v>
      </c>
      <c r="B231" s="9">
        <v>108.03</v>
      </c>
      <c r="C231" s="9">
        <v>26.23</v>
      </c>
      <c r="D231" s="54">
        <f t="shared" si="5"/>
        <v>4.118566526877621</v>
      </c>
      <c r="Q231" s="52"/>
      <c r="R231" s="52"/>
    </row>
    <row r="232" spans="1:18" x14ac:dyDescent="0.3">
      <c r="A232" s="8">
        <v>20191120</v>
      </c>
      <c r="B232" s="9">
        <v>108.14</v>
      </c>
      <c r="C232" s="9">
        <v>26.24</v>
      </c>
      <c r="D232" s="54">
        <f t="shared" si="5"/>
        <v>4.1211890243902438</v>
      </c>
      <c r="Q232" s="52"/>
      <c r="R232" s="52"/>
    </row>
    <row r="233" spans="1:18" x14ac:dyDescent="0.3">
      <c r="A233" s="8">
        <v>20191121</v>
      </c>
      <c r="B233" s="9">
        <v>108.1</v>
      </c>
      <c r="C233" s="9">
        <v>26.24</v>
      </c>
      <c r="D233" s="54">
        <f t="shared" si="5"/>
        <v>4.1196646341463419</v>
      </c>
      <c r="Q233" s="52"/>
      <c r="R233" s="52"/>
    </row>
    <row r="234" spans="1:18" x14ac:dyDescent="0.3">
      <c r="A234" s="8">
        <v>20191122</v>
      </c>
      <c r="B234" s="9">
        <v>108.1</v>
      </c>
      <c r="C234" s="9">
        <v>26.22</v>
      </c>
      <c r="D234" s="54">
        <f t="shared" si="5"/>
        <v>4.1228070175438596</v>
      </c>
      <c r="Q234" s="52"/>
      <c r="R234" s="52"/>
    </row>
    <row r="235" spans="1:18" x14ac:dyDescent="0.3">
      <c r="A235" s="8">
        <v>20191125</v>
      </c>
      <c r="B235" s="9">
        <v>108.15</v>
      </c>
      <c r="C235" s="9">
        <v>26.21</v>
      </c>
      <c r="D235" s="54">
        <f t="shared" si="5"/>
        <v>4.1262876764593663</v>
      </c>
      <c r="Q235" s="52"/>
      <c r="R235" s="52"/>
    </row>
    <row r="236" spans="1:18" x14ac:dyDescent="0.3">
      <c r="A236" s="8">
        <v>20191126</v>
      </c>
      <c r="B236" s="9">
        <v>108.2</v>
      </c>
      <c r="C236" s="9">
        <v>26.26</v>
      </c>
      <c r="D236" s="54">
        <f t="shared" si="5"/>
        <v>4.1203351104341204</v>
      </c>
      <c r="Q236" s="52"/>
      <c r="R236" s="52"/>
    </row>
    <row r="237" spans="1:18" x14ac:dyDescent="0.3">
      <c r="A237" s="8">
        <v>20191127</v>
      </c>
      <c r="B237" s="9">
        <v>108.09</v>
      </c>
      <c r="C237" s="9">
        <v>26.23</v>
      </c>
      <c r="D237" s="54">
        <f t="shared" si="5"/>
        <v>4.1208539839878</v>
      </c>
      <c r="Q237" s="52"/>
      <c r="R237" s="52"/>
    </row>
    <row r="238" spans="1:18" x14ac:dyDescent="0.3">
      <c r="A238" s="8">
        <v>20191129</v>
      </c>
      <c r="B238" s="9">
        <v>108.14</v>
      </c>
      <c r="C238" s="9">
        <v>26.21</v>
      </c>
      <c r="D238" s="54">
        <f t="shared" si="5"/>
        <v>4.1259061426936281</v>
      </c>
      <c r="Q238" s="52"/>
      <c r="R238" s="52"/>
    </row>
    <row r="239" spans="1:18" x14ac:dyDescent="0.3">
      <c r="A239" s="8">
        <v>20191202</v>
      </c>
      <c r="B239" s="9">
        <v>107.85</v>
      </c>
      <c r="C239" s="9">
        <v>26.17</v>
      </c>
      <c r="D239" s="54">
        <f t="shared" si="5"/>
        <v>4.1211310661062281</v>
      </c>
      <c r="Q239" s="52"/>
      <c r="R239" s="52"/>
    </row>
    <row r="240" spans="1:18" x14ac:dyDescent="0.3">
      <c r="A240" s="8">
        <v>20191203</v>
      </c>
      <c r="B240" s="9">
        <v>108.08</v>
      </c>
      <c r="C240" s="9">
        <v>26.2</v>
      </c>
      <c r="D240" s="54">
        <f t="shared" si="5"/>
        <v>4.1251908396946568</v>
      </c>
      <c r="Q240" s="52"/>
      <c r="R240" s="52"/>
    </row>
    <row r="241" spans="1:18" x14ac:dyDescent="0.3">
      <c r="A241" s="8">
        <v>20191204</v>
      </c>
      <c r="B241" s="9">
        <v>107.89</v>
      </c>
      <c r="C241" s="9">
        <v>26.19</v>
      </c>
      <c r="D241" s="54">
        <f t="shared" si="5"/>
        <v>4.1195112638411606</v>
      </c>
      <c r="Q241" s="52"/>
      <c r="R241" s="52"/>
    </row>
    <row r="242" spans="1:18" x14ac:dyDescent="0.3">
      <c r="A242" s="8">
        <v>20191205</v>
      </c>
      <c r="B242" s="9">
        <v>107.86</v>
      </c>
      <c r="C242" s="9">
        <v>26.2</v>
      </c>
      <c r="D242" s="54">
        <f t="shared" si="5"/>
        <v>4.1167938931297714</v>
      </c>
      <c r="Q242" s="52"/>
      <c r="R242" s="52"/>
    </row>
    <row r="243" spans="1:18" x14ac:dyDescent="0.3">
      <c r="A243" s="8">
        <v>20191206</v>
      </c>
      <c r="B243" s="9">
        <v>107.92</v>
      </c>
      <c r="C243" s="9">
        <v>26.18</v>
      </c>
      <c r="D243" s="54">
        <f t="shared" si="5"/>
        <v>4.1222307104660043</v>
      </c>
      <c r="Q243" s="52"/>
      <c r="R243" s="52"/>
    </row>
    <row r="244" spans="1:18" x14ac:dyDescent="0.3">
      <c r="A244" s="8">
        <v>20191209</v>
      </c>
      <c r="B244" s="9">
        <v>107.88</v>
      </c>
      <c r="C244" s="9">
        <v>26.16</v>
      </c>
      <c r="D244" s="54">
        <f t="shared" si="5"/>
        <v>4.1238532110091741</v>
      </c>
      <c r="Q244" s="52"/>
      <c r="R244" s="52"/>
    </row>
    <row r="245" spans="1:18" x14ac:dyDescent="0.3">
      <c r="A245" s="8">
        <v>20191210</v>
      </c>
      <c r="B245" s="9">
        <v>107.84</v>
      </c>
      <c r="C245" s="9">
        <v>26.14</v>
      </c>
      <c r="D245" s="54">
        <f t="shared" si="5"/>
        <v>4.1254781943381786</v>
      </c>
      <c r="Q245" s="52"/>
      <c r="R245" s="52"/>
    </row>
    <row r="246" spans="1:18" x14ac:dyDescent="0.3">
      <c r="A246" s="8">
        <v>20191211</v>
      </c>
      <c r="B246" s="9">
        <v>108.05</v>
      </c>
      <c r="C246" s="9">
        <v>26.18</v>
      </c>
      <c r="D246" s="54">
        <f t="shared" si="5"/>
        <v>4.1271963330786861</v>
      </c>
      <c r="Q246" s="52"/>
      <c r="R246" s="52"/>
    </row>
    <row r="247" spans="1:18" x14ac:dyDescent="0.3">
      <c r="A247" s="8">
        <v>20191212</v>
      </c>
      <c r="B247" s="9">
        <v>107.76</v>
      </c>
      <c r="C247" s="9">
        <v>26.14</v>
      </c>
      <c r="D247" s="54">
        <f t="shared" si="5"/>
        <v>4.1224177505738338</v>
      </c>
      <c r="Q247" s="52"/>
      <c r="R247" s="52"/>
    </row>
    <row r="248" spans="1:18" x14ac:dyDescent="0.3">
      <c r="A248" s="8">
        <v>20191213</v>
      </c>
      <c r="B248" s="9">
        <v>108.12</v>
      </c>
      <c r="C248" s="9">
        <v>26.21</v>
      </c>
      <c r="D248" s="54">
        <f t="shared" si="5"/>
        <v>4.1251430751621516</v>
      </c>
      <c r="Q248" s="52"/>
      <c r="R248" s="52"/>
    </row>
    <row r="249" spans="1:18" x14ac:dyDescent="0.3">
      <c r="A249" s="8">
        <v>20191216</v>
      </c>
      <c r="B249" s="9">
        <v>107.96</v>
      </c>
      <c r="C249" s="9">
        <v>26.15</v>
      </c>
      <c r="D249" s="54">
        <f t="shared" si="5"/>
        <v>4.12848948374761</v>
      </c>
      <c r="Q249" s="52"/>
      <c r="R249" s="52"/>
    </row>
    <row r="250" spans="1:18" x14ac:dyDescent="0.3">
      <c r="A250" s="8">
        <v>20191217</v>
      </c>
      <c r="B250" s="9">
        <v>108.03</v>
      </c>
      <c r="C250" s="9">
        <v>26.18</v>
      </c>
      <c r="D250" s="54">
        <f t="shared" si="5"/>
        <v>4.1264323911382732</v>
      </c>
      <c r="Q250" s="52"/>
      <c r="R250" s="52"/>
    </row>
    <row r="251" spans="1:18" x14ac:dyDescent="0.3">
      <c r="A251" s="8">
        <v>20191218</v>
      </c>
      <c r="B251" s="9">
        <v>107.91</v>
      </c>
      <c r="C251" s="9">
        <v>26.17</v>
      </c>
      <c r="D251" s="54">
        <f t="shared" si="5"/>
        <v>4.1234237676729073</v>
      </c>
      <c r="Q251" s="52"/>
      <c r="R251" s="52"/>
    </row>
    <row r="252" spans="1:18" x14ac:dyDescent="0.3">
      <c r="A252" s="8">
        <v>20191219</v>
      </c>
      <c r="B252" s="9">
        <v>107.91</v>
      </c>
      <c r="C252" s="9">
        <v>26.19</v>
      </c>
      <c r="D252" s="54">
        <f t="shared" si="5"/>
        <v>4.1202749140893467</v>
      </c>
      <c r="Q252" s="52"/>
      <c r="R252" s="52"/>
    </row>
    <row r="253" spans="1:18" x14ac:dyDescent="0.3">
      <c r="A253" s="8">
        <v>20191220</v>
      </c>
      <c r="B253" s="9">
        <v>108</v>
      </c>
      <c r="C253" s="9">
        <v>26.11</v>
      </c>
      <c r="D253" s="54">
        <f t="shared" si="5"/>
        <v>4.1363462274990423</v>
      </c>
      <c r="Q253" s="52"/>
      <c r="R253" s="52"/>
    </row>
    <row r="254" spans="1:18" x14ac:dyDescent="0.3">
      <c r="A254" s="8">
        <v>20191223</v>
      </c>
      <c r="B254" s="9">
        <v>107.85</v>
      </c>
      <c r="C254" s="9">
        <v>26.07</v>
      </c>
      <c r="D254" s="54">
        <f t="shared" si="5"/>
        <v>4.1369390103567314</v>
      </c>
      <c r="Q254" s="52"/>
      <c r="R254" s="52"/>
    </row>
    <row r="255" spans="1:18" x14ac:dyDescent="0.3">
      <c r="A255" s="8">
        <v>20191224</v>
      </c>
      <c r="B255" s="9">
        <v>107.93</v>
      </c>
      <c r="C255" s="9">
        <v>26.1</v>
      </c>
      <c r="D255" s="54">
        <f t="shared" si="5"/>
        <v>4.1352490421455936</v>
      </c>
      <c r="Q255" s="52"/>
      <c r="R255" s="52"/>
    </row>
    <row r="256" spans="1:18" x14ac:dyDescent="0.3">
      <c r="A256" s="8">
        <v>20191226</v>
      </c>
      <c r="B256" s="9">
        <v>107.93</v>
      </c>
      <c r="C256" s="9">
        <v>26.14</v>
      </c>
      <c r="D256" s="54">
        <f t="shared" si="5"/>
        <v>4.1289211935730679</v>
      </c>
      <c r="Q256" s="52"/>
      <c r="R256" s="52"/>
    </row>
    <row r="257" spans="1:18" x14ac:dyDescent="0.3">
      <c r="A257" s="8">
        <v>20191227</v>
      </c>
      <c r="B257" s="9">
        <v>108.15</v>
      </c>
      <c r="C257" s="9">
        <v>26.16</v>
      </c>
      <c r="D257" s="54">
        <f t="shared" si="5"/>
        <v>4.1341743119266061</v>
      </c>
      <c r="Q257" s="52"/>
      <c r="R257" s="52"/>
    </row>
    <row r="258" spans="1:18" x14ac:dyDescent="0.3">
      <c r="A258" s="8">
        <v>20191230</v>
      </c>
      <c r="B258" s="9">
        <v>108.11</v>
      </c>
      <c r="C258" s="9">
        <v>26.18</v>
      </c>
      <c r="D258" s="54">
        <f t="shared" si="5"/>
        <v>4.1294881588999237</v>
      </c>
      <c r="Q258" s="52"/>
      <c r="R258" s="52"/>
    </row>
    <row r="259" spans="1:18" ht="15" thickBot="1" x14ac:dyDescent="0.35">
      <c r="A259" s="11">
        <v>20191231</v>
      </c>
      <c r="B259" s="12">
        <v>108.06</v>
      </c>
      <c r="C259" s="12">
        <v>26.11</v>
      </c>
      <c r="D259" s="55">
        <f t="shared" si="5"/>
        <v>4.1386441976254309</v>
      </c>
      <c r="Q259" s="52"/>
      <c r="R259" s="52"/>
    </row>
  </sheetData>
  <mergeCells count="7">
    <mergeCell ref="A1:A2"/>
    <mergeCell ref="C1:E1"/>
    <mergeCell ref="C2:E2"/>
    <mergeCell ref="A3:A4"/>
    <mergeCell ref="C3:E3"/>
    <mergeCell ref="C4:E4"/>
    <mergeCell ref="A6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576D-533A-41FA-A293-A2C93EFBA91D}">
  <dimension ref="A1:R259"/>
  <sheetViews>
    <sheetView workbookViewId="0">
      <selection activeCell="E17" sqref="E17"/>
    </sheetView>
  </sheetViews>
  <sheetFormatPr defaultRowHeight="14.4" x14ac:dyDescent="0.3"/>
  <cols>
    <col min="2" max="2" width="12.44140625" bestFit="1" customWidth="1"/>
    <col min="4" max="4" width="17.5546875" bestFit="1" customWidth="1"/>
    <col min="5" max="5" width="18.44140625" customWidth="1"/>
    <col min="6" max="6" width="12.5546875" customWidth="1"/>
    <col min="8" max="8" width="13.5546875" customWidth="1"/>
    <col min="9" max="9" width="7.6640625" style="1" bestFit="1" customWidth="1"/>
    <col min="10" max="10" width="18.88671875" style="1" bestFit="1" customWidth="1"/>
    <col min="11" max="11" width="8.6640625" style="1" bestFit="1" customWidth="1"/>
    <col min="12" max="12" width="12.44140625" style="1" bestFit="1" customWidth="1"/>
    <col min="13" max="13" width="12.33203125" bestFit="1" customWidth="1"/>
    <col min="14" max="14" width="12.44140625" bestFit="1" customWidth="1"/>
    <col min="15" max="15" width="14.6640625" bestFit="1" customWidth="1"/>
  </cols>
  <sheetData>
    <row r="1" spans="1:18" x14ac:dyDescent="0.3">
      <c r="A1" s="48" t="s">
        <v>12</v>
      </c>
      <c r="B1" s="3" t="s">
        <v>26</v>
      </c>
      <c r="C1" s="44" t="s">
        <v>52</v>
      </c>
      <c r="D1" s="44"/>
      <c r="E1" s="45"/>
      <c r="F1" s="53"/>
      <c r="H1" s="2" t="s">
        <v>37</v>
      </c>
      <c r="I1" s="18"/>
      <c r="J1" s="18"/>
      <c r="K1" s="18"/>
      <c r="L1" s="18"/>
      <c r="M1" s="3"/>
      <c r="N1" s="3"/>
      <c r="O1" s="4"/>
    </row>
    <row r="2" spans="1:18" ht="15" thickBot="1" x14ac:dyDescent="0.35">
      <c r="A2" s="49"/>
      <c r="B2" s="13" t="s">
        <v>27</v>
      </c>
      <c r="C2" s="46" t="s">
        <v>53</v>
      </c>
      <c r="D2" s="46"/>
      <c r="E2" s="47"/>
      <c r="F2" s="53"/>
      <c r="H2" s="8" t="s">
        <v>56</v>
      </c>
      <c r="I2" s="9"/>
      <c r="J2" s="9"/>
      <c r="K2" s="9"/>
      <c r="L2" s="9"/>
      <c r="O2" s="14"/>
    </row>
    <row r="3" spans="1:18" x14ac:dyDescent="0.3">
      <c r="A3" s="48" t="s">
        <v>14</v>
      </c>
      <c r="B3" s="3" t="s">
        <v>26</v>
      </c>
      <c r="C3" s="44" t="s">
        <v>54</v>
      </c>
      <c r="D3" s="44"/>
      <c r="E3" s="45"/>
      <c r="F3" s="53"/>
      <c r="H3" s="8" t="s">
        <v>57</v>
      </c>
      <c r="I3" s="9"/>
      <c r="J3" s="9"/>
      <c r="K3" s="9"/>
      <c r="L3" s="9"/>
      <c r="O3" s="14"/>
    </row>
    <row r="4" spans="1:18" ht="15" thickBot="1" x14ac:dyDescent="0.35">
      <c r="A4" s="49"/>
      <c r="B4" s="13" t="s">
        <v>27</v>
      </c>
      <c r="C4" s="46" t="s">
        <v>55</v>
      </c>
      <c r="D4" s="46"/>
      <c r="E4" s="47"/>
      <c r="F4" s="53"/>
      <c r="H4" s="8" t="s">
        <v>58</v>
      </c>
      <c r="I4" s="9"/>
      <c r="J4" s="9"/>
      <c r="K4" s="9"/>
      <c r="L4" s="9"/>
      <c r="O4" s="14"/>
    </row>
    <row r="5" spans="1:18" ht="15" thickBot="1" x14ac:dyDescent="0.35">
      <c r="H5" s="8" t="s">
        <v>59</v>
      </c>
      <c r="I5" s="9"/>
      <c r="J5" s="9"/>
      <c r="K5" s="9"/>
      <c r="L5" s="9"/>
      <c r="O5" s="14"/>
    </row>
    <row r="6" spans="1:18" x14ac:dyDescent="0.3">
      <c r="A6" s="41" t="s">
        <v>28</v>
      </c>
      <c r="B6" s="42"/>
      <c r="C6" s="42"/>
      <c r="D6" s="43"/>
      <c r="E6" s="16" t="s">
        <v>29</v>
      </c>
      <c r="F6" s="4"/>
      <c r="H6" s="8" t="s">
        <v>39</v>
      </c>
      <c r="I6" s="9"/>
      <c r="J6" s="9"/>
      <c r="K6" s="9"/>
      <c r="L6" s="9"/>
      <c r="O6" s="14"/>
    </row>
    <row r="7" spans="1:18" x14ac:dyDescent="0.3">
      <c r="A7" s="5" t="s">
        <v>21</v>
      </c>
      <c r="B7" s="6" t="s">
        <v>12</v>
      </c>
      <c r="C7" s="6" t="s">
        <v>14</v>
      </c>
      <c r="D7" s="7" t="s">
        <v>70</v>
      </c>
      <c r="E7" s="30" t="s">
        <v>30</v>
      </c>
      <c r="F7" s="29">
        <f>CORREL(C8:C259,B8:B259)</f>
        <v>0.9990836774033055</v>
      </c>
      <c r="H7" s="8" t="s">
        <v>87</v>
      </c>
      <c r="I7" s="9"/>
      <c r="J7" s="9"/>
      <c r="K7" s="56">
        <f>F11</f>
        <v>2.130774305376951</v>
      </c>
      <c r="L7" s="57" t="s">
        <v>75</v>
      </c>
      <c r="M7" s="52">
        <f>L16</f>
        <v>53.702132196000001</v>
      </c>
      <c r="N7" s="25" t="s">
        <v>76</v>
      </c>
      <c r="O7" s="10">
        <f>K7*M7</f>
        <v>114.4271234271931</v>
      </c>
    </row>
    <row r="8" spans="1:18" x14ac:dyDescent="0.3">
      <c r="A8" s="8">
        <v>20190102</v>
      </c>
      <c r="B8" s="9">
        <v>109.01</v>
      </c>
      <c r="C8" s="9">
        <v>51.06</v>
      </c>
      <c r="D8" s="54">
        <f t="shared" ref="D8:D11" si="0">B8/C8</f>
        <v>2.1349392871132</v>
      </c>
      <c r="E8" s="8"/>
      <c r="F8" s="14"/>
      <c r="H8" s="8" t="s">
        <v>88</v>
      </c>
      <c r="I8" s="9"/>
      <c r="J8" s="9"/>
      <c r="K8" s="9">
        <f>O7-L15</f>
        <v>0.17712342719309504</v>
      </c>
      <c r="L8" s="9"/>
      <c r="O8" s="14"/>
    </row>
    <row r="9" spans="1:18" x14ac:dyDescent="0.3">
      <c r="A9" s="8">
        <v>20190103</v>
      </c>
      <c r="B9" s="9">
        <v>109.32</v>
      </c>
      <c r="C9" s="9">
        <v>51.19</v>
      </c>
      <c r="D9" s="54">
        <f t="shared" si="0"/>
        <v>2.1355733541707362</v>
      </c>
      <c r="E9" s="8" t="s">
        <v>67</v>
      </c>
      <c r="F9" s="54">
        <f>MAX(D8:D259)</f>
        <v>2.1365863217715071</v>
      </c>
      <c r="H9" s="8" t="s">
        <v>78</v>
      </c>
      <c r="I9" s="9"/>
      <c r="J9" s="9"/>
      <c r="K9" s="9">
        <f>K8</f>
        <v>0.17712342719309504</v>
      </c>
      <c r="L9" s="57" t="s">
        <v>75</v>
      </c>
      <c r="M9">
        <f>K15</f>
        <v>220</v>
      </c>
      <c r="N9" s="25" t="s">
        <v>76</v>
      </c>
      <c r="O9" s="10">
        <f>K9*M9</f>
        <v>38.967153982480909</v>
      </c>
    </row>
    <row r="10" spans="1:18" x14ac:dyDescent="0.3">
      <c r="A10" s="8">
        <v>20190104</v>
      </c>
      <c r="B10" s="9">
        <v>109.03</v>
      </c>
      <c r="C10" s="9">
        <v>51.03</v>
      </c>
      <c r="D10" s="54">
        <f t="shared" si="0"/>
        <v>2.1365863217715071</v>
      </c>
      <c r="E10" s="8" t="s">
        <v>68</v>
      </c>
      <c r="F10" s="54">
        <f>MIN(D8:D259)</f>
        <v>2.123157305467438</v>
      </c>
      <c r="H10" s="8" t="s">
        <v>81</v>
      </c>
      <c r="I10" s="9"/>
      <c r="J10" s="9"/>
      <c r="K10" s="9"/>
      <c r="L10" s="9"/>
      <c r="M10" s="58">
        <f>O19/O9</f>
        <v>1.7526157959780864</v>
      </c>
      <c r="N10" t="s">
        <v>82</v>
      </c>
      <c r="O10" s="14"/>
    </row>
    <row r="11" spans="1:18" ht="15" thickBot="1" x14ac:dyDescent="0.35">
      <c r="A11" s="8">
        <v>20190107</v>
      </c>
      <c r="B11" s="9">
        <v>109.02</v>
      </c>
      <c r="C11" s="9">
        <v>51.1</v>
      </c>
      <c r="D11" s="54">
        <f t="shared" si="0"/>
        <v>2.133463796477495</v>
      </c>
      <c r="E11" s="8" t="s">
        <v>69</v>
      </c>
      <c r="F11" s="54">
        <f>AVERAGE(D8:D259)</f>
        <v>2.130774305376951</v>
      </c>
      <c r="H11" s="11" t="s">
        <v>89</v>
      </c>
      <c r="I11" s="12"/>
      <c r="J11" s="12"/>
      <c r="K11" s="12"/>
      <c r="L11" s="12"/>
      <c r="M11" s="13"/>
      <c r="N11" s="13"/>
      <c r="O11" s="33"/>
    </row>
    <row r="12" spans="1:18" ht="15" thickBot="1" x14ac:dyDescent="0.35">
      <c r="A12" s="8">
        <v>20190108</v>
      </c>
      <c r="B12" s="9">
        <v>108.94</v>
      </c>
      <c r="C12" s="9">
        <v>51.06</v>
      </c>
      <c r="D12" s="54">
        <f>B12/C12</f>
        <v>2.133568350959655</v>
      </c>
      <c r="E12" s="8"/>
      <c r="F12" s="14"/>
      <c r="Q12" s="52"/>
      <c r="R12" s="52"/>
    </row>
    <row r="13" spans="1:18" ht="15" thickBot="1" x14ac:dyDescent="0.35">
      <c r="A13" s="8">
        <v>20190109</v>
      </c>
      <c r="B13" s="9">
        <v>108.82</v>
      </c>
      <c r="C13" s="9">
        <v>50.99</v>
      </c>
      <c r="D13" s="54">
        <f t="shared" ref="D13:D76" si="1">B13/C13</f>
        <v>2.1341439497940771</v>
      </c>
      <c r="E13" s="11" t="s">
        <v>73</v>
      </c>
      <c r="F13" s="55">
        <f>-K16/K15</f>
        <v>2.1318181818181818</v>
      </c>
      <c r="H13" s="2" t="s">
        <v>31</v>
      </c>
      <c r="I13" s="3"/>
      <c r="J13" s="3"/>
      <c r="K13" s="3"/>
      <c r="L13" s="18"/>
      <c r="M13" s="18"/>
      <c r="N13" s="18"/>
      <c r="O13" s="19"/>
      <c r="Q13" s="52"/>
      <c r="R13" s="52"/>
    </row>
    <row r="14" spans="1:18" x14ac:dyDescent="0.3">
      <c r="A14" s="8">
        <v>20190110</v>
      </c>
      <c r="B14" s="9">
        <v>108.92</v>
      </c>
      <c r="C14" s="9">
        <v>51.03</v>
      </c>
      <c r="D14" s="54">
        <f t="shared" si="1"/>
        <v>2.1344307270233198</v>
      </c>
      <c r="H14" s="20" t="s">
        <v>34</v>
      </c>
      <c r="I14" s="21" t="s">
        <v>0</v>
      </c>
      <c r="J14" s="21" t="s">
        <v>1</v>
      </c>
      <c r="K14" s="21" t="s">
        <v>2</v>
      </c>
      <c r="L14" s="22" t="s">
        <v>35</v>
      </c>
      <c r="M14" s="22" t="s">
        <v>3</v>
      </c>
      <c r="N14" s="22" t="s">
        <v>4</v>
      </c>
      <c r="O14" s="23" t="s">
        <v>36</v>
      </c>
      <c r="Q14" s="52"/>
      <c r="R14" s="52"/>
    </row>
    <row r="15" spans="1:18" x14ac:dyDescent="0.3">
      <c r="A15" s="8">
        <v>20190111</v>
      </c>
      <c r="B15" s="9">
        <v>108.93</v>
      </c>
      <c r="C15" s="9">
        <v>51.1</v>
      </c>
      <c r="D15" s="54">
        <f t="shared" si="1"/>
        <v>2.1317025440313113</v>
      </c>
      <c r="H15" s="24" t="s">
        <v>32</v>
      </c>
      <c r="I15" s="25" t="s">
        <v>12</v>
      </c>
      <c r="J15" t="s">
        <v>13</v>
      </c>
      <c r="K15">
        <v>220</v>
      </c>
      <c r="L15" s="32">
        <v>114.25</v>
      </c>
      <c r="M15" s="9">
        <f>-K15*L15</f>
        <v>-25135</v>
      </c>
      <c r="N15" s="9">
        <v>-1.1000000000000001</v>
      </c>
      <c r="O15" s="26">
        <f>+M15+N15</f>
        <v>-25136.1</v>
      </c>
      <c r="Q15" s="52"/>
      <c r="R15" s="52"/>
    </row>
    <row r="16" spans="1:18" x14ac:dyDescent="0.3">
      <c r="A16" s="8">
        <v>20190114</v>
      </c>
      <c r="B16" s="9">
        <v>109.01</v>
      </c>
      <c r="C16" s="9">
        <v>51.12</v>
      </c>
      <c r="D16" s="54">
        <f t="shared" si="1"/>
        <v>2.1324334898278563</v>
      </c>
      <c r="H16" s="24" t="s">
        <v>32</v>
      </c>
      <c r="I16" s="25" t="s">
        <v>14</v>
      </c>
      <c r="J16" t="s">
        <v>13</v>
      </c>
      <c r="K16">
        <v>-469</v>
      </c>
      <c r="L16" s="31">
        <v>53.702132196000001</v>
      </c>
      <c r="M16" s="9">
        <f t="shared" ref="M16:M18" si="2">-K16*L16</f>
        <v>25186.299999924002</v>
      </c>
      <c r="N16" s="9">
        <v>-2.9574282300000001</v>
      </c>
      <c r="O16" s="26">
        <f t="shared" ref="O16:O18" si="3">+M16+N16</f>
        <v>25183.342571694004</v>
      </c>
      <c r="Q16" s="52"/>
      <c r="R16" s="52"/>
    </row>
    <row r="17" spans="1:18" x14ac:dyDescent="0.3">
      <c r="A17" s="8">
        <v>20190115</v>
      </c>
      <c r="B17" s="9">
        <v>109.02</v>
      </c>
      <c r="C17" s="9">
        <v>51.13</v>
      </c>
      <c r="D17" s="54">
        <f t="shared" si="1"/>
        <v>2.132212008605515</v>
      </c>
      <c r="H17" s="24" t="s">
        <v>33</v>
      </c>
      <c r="I17" s="25" t="s">
        <v>12</v>
      </c>
      <c r="J17" t="s">
        <v>15</v>
      </c>
      <c r="K17">
        <v>-220</v>
      </c>
      <c r="L17" s="9">
        <v>114.55</v>
      </c>
      <c r="M17" s="9">
        <f t="shared" si="2"/>
        <v>25201</v>
      </c>
      <c r="N17" s="9">
        <v>-1.6831221000000001</v>
      </c>
      <c r="O17" s="26">
        <f t="shared" si="3"/>
        <v>25199.316877900001</v>
      </c>
      <c r="Q17" s="52"/>
      <c r="R17" s="52"/>
    </row>
    <row r="18" spans="1:18" ht="16.8" thickBot="1" x14ac:dyDescent="0.5">
      <c r="A18" s="8">
        <v>20190116</v>
      </c>
      <c r="B18" s="9">
        <v>109.1</v>
      </c>
      <c r="C18" s="9">
        <v>51.14</v>
      </c>
      <c r="D18" s="54">
        <f t="shared" si="1"/>
        <v>2.1333594055533829</v>
      </c>
      <c r="H18" s="24" t="s">
        <v>33</v>
      </c>
      <c r="I18" s="25" t="s">
        <v>14</v>
      </c>
      <c r="J18" s="17" t="s">
        <v>15</v>
      </c>
      <c r="K18" s="17">
        <v>469</v>
      </c>
      <c r="L18" s="9">
        <v>53.68</v>
      </c>
      <c r="M18" s="9">
        <f t="shared" si="2"/>
        <v>-25175.919999999998</v>
      </c>
      <c r="N18" s="9">
        <v>-2.3450000000000002</v>
      </c>
      <c r="O18" s="27">
        <f t="shared" si="3"/>
        <v>-25178.264999999999</v>
      </c>
      <c r="Q18" s="52"/>
      <c r="R18" s="52"/>
    </row>
    <row r="19" spans="1:18" ht="15" thickBot="1" x14ac:dyDescent="0.35">
      <c r="A19" s="8">
        <v>20190117</v>
      </c>
      <c r="B19" s="9">
        <v>109.1</v>
      </c>
      <c r="C19" s="9">
        <v>51.11</v>
      </c>
      <c r="D19" s="54">
        <f t="shared" si="1"/>
        <v>2.1346116219917826</v>
      </c>
      <c r="H19" s="11"/>
      <c r="I19" s="13"/>
      <c r="J19" s="28" t="s">
        <v>63</v>
      </c>
      <c r="K19" s="13">
        <f>SUM(K15:K18)</f>
        <v>0</v>
      </c>
      <c r="L19" s="12"/>
      <c r="M19" s="12"/>
      <c r="N19" s="12"/>
      <c r="O19" s="37">
        <f>SUM(O15:O18)</f>
        <v>68.294449594006437</v>
      </c>
      <c r="Q19" s="52"/>
      <c r="R19" s="52"/>
    </row>
    <row r="20" spans="1:18" x14ac:dyDescent="0.3">
      <c r="A20" s="8">
        <v>20190118</v>
      </c>
      <c r="B20" s="9">
        <v>108.97</v>
      </c>
      <c r="C20" s="9">
        <v>51.11</v>
      </c>
      <c r="D20" s="54">
        <f t="shared" si="1"/>
        <v>2.1320680884367054</v>
      </c>
      <c r="Q20" s="52"/>
      <c r="R20" s="52"/>
    </row>
    <row r="21" spans="1:18" x14ac:dyDescent="0.3">
      <c r="A21" s="8">
        <v>20190122</v>
      </c>
      <c r="B21" s="9">
        <v>108.97</v>
      </c>
      <c r="C21" s="9">
        <v>51.14</v>
      </c>
      <c r="D21" s="54">
        <f t="shared" si="1"/>
        <v>2.130817364098553</v>
      </c>
      <c r="E21" s="15"/>
      <c r="F21" s="15"/>
      <c r="M21" s="1"/>
      <c r="Q21" s="52"/>
      <c r="R21" s="52"/>
    </row>
    <row r="22" spans="1:18" x14ac:dyDescent="0.3">
      <c r="A22" s="8">
        <v>20190123</v>
      </c>
      <c r="B22" s="9">
        <v>108.98</v>
      </c>
      <c r="C22" s="9">
        <v>51.1</v>
      </c>
      <c r="D22" s="54">
        <f t="shared" si="1"/>
        <v>2.1326810176125246</v>
      </c>
      <c r="E22" s="15"/>
      <c r="F22" s="15"/>
      <c r="M22" s="1"/>
      <c r="Q22" s="52"/>
      <c r="R22" s="52"/>
    </row>
    <row r="23" spans="1:18" x14ac:dyDescent="0.3">
      <c r="A23" s="8">
        <v>20190124</v>
      </c>
      <c r="B23" s="9">
        <v>108.98</v>
      </c>
      <c r="C23" s="9">
        <v>51.15</v>
      </c>
      <c r="D23" s="54">
        <f t="shared" si="1"/>
        <v>2.1305962854349954</v>
      </c>
      <c r="E23" s="15"/>
      <c r="F23" s="15"/>
      <c r="M23" s="1"/>
      <c r="Q23" s="52"/>
      <c r="R23" s="52"/>
    </row>
    <row r="24" spans="1:18" x14ac:dyDescent="0.3">
      <c r="A24" s="8">
        <v>20190125</v>
      </c>
      <c r="B24" s="9">
        <v>108.98</v>
      </c>
      <c r="C24" s="9">
        <v>51.09</v>
      </c>
      <c r="D24" s="54">
        <f t="shared" si="1"/>
        <v>2.1330984537091409</v>
      </c>
      <c r="E24" s="15"/>
      <c r="F24" s="15"/>
      <c r="Q24" s="52"/>
      <c r="R24" s="52"/>
    </row>
    <row r="25" spans="1:18" x14ac:dyDescent="0.3">
      <c r="A25" s="8">
        <v>20190128</v>
      </c>
      <c r="B25" s="9">
        <v>108.97</v>
      </c>
      <c r="C25" s="9">
        <v>51.13</v>
      </c>
      <c r="D25" s="54">
        <f t="shared" si="1"/>
        <v>2.1312341091335809</v>
      </c>
      <c r="E25" s="15"/>
      <c r="F25" s="15"/>
      <c r="Q25" s="52"/>
      <c r="R25" s="52"/>
    </row>
    <row r="26" spans="1:18" x14ac:dyDescent="0.3">
      <c r="A26" s="8">
        <v>20190129</v>
      </c>
      <c r="B26" s="9">
        <v>109.12</v>
      </c>
      <c r="C26" s="9">
        <v>51.19</v>
      </c>
      <c r="D26" s="54">
        <f t="shared" si="1"/>
        <v>2.131666341082243</v>
      </c>
      <c r="E26" s="15"/>
      <c r="F26" s="15"/>
      <c r="Q26" s="52"/>
      <c r="R26" s="52"/>
    </row>
    <row r="27" spans="1:18" x14ac:dyDescent="0.3">
      <c r="A27" s="8">
        <v>20190130</v>
      </c>
      <c r="B27" s="9">
        <v>109.21</v>
      </c>
      <c r="C27" s="9">
        <v>51.18</v>
      </c>
      <c r="D27" s="54">
        <f t="shared" si="1"/>
        <v>2.1338413442751074</v>
      </c>
      <c r="E27" s="15"/>
      <c r="F27" s="15"/>
      <c r="Q27" s="52"/>
      <c r="R27" s="52"/>
    </row>
    <row r="28" spans="1:18" x14ac:dyDescent="0.3">
      <c r="A28" s="8">
        <v>20190131</v>
      </c>
      <c r="B28" s="9">
        <v>109.45</v>
      </c>
      <c r="C28" s="9">
        <v>51.29</v>
      </c>
      <c r="D28" s="54">
        <f t="shared" si="1"/>
        <v>2.1339442386430103</v>
      </c>
      <c r="E28" s="15"/>
      <c r="F28" s="15"/>
      <c r="Q28" s="52"/>
      <c r="R28" s="52"/>
    </row>
    <row r="29" spans="1:18" x14ac:dyDescent="0.3">
      <c r="A29" s="8">
        <v>20190201</v>
      </c>
      <c r="B29" s="9">
        <v>109.08</v>
      </c>
      <c r="C29" s="9">
        <v>51.13</v>
      </c>
      <c r="D29" s="54">
        <f t="shared" si="1"/>
        <v>2.1333854879718364</v>
      </c>
      <c r="Q29" s="52"/>
      <c r="R29" s="52"/>
    </row>
    <row r="30" spans="1:18" x14ac:dyDescent="0.3">
      <c r="A30" s="8">
        <v>20190204</v>
      </c>
      <c r="B30" s="9">
        <v>109.1</v>
      </c>
      <c r="C30" s="9">
        <v>51.19</v>
      </c>
      <c r="D30" s="54">
        <f t="shared" si="1"/>
        <v>2.1312756397733934</v>
      </c>
      <c r="Q30" s="52"/>
      <c r="R30" s="52"/>
    </row>
    <row r="31" spans="1:18" x14ac:dyDescent="0.3">
      <c r="A31" s="8">
        <v>20190205</v>
      </c>
      <c r="B31" s="9">
        <v>109.11</v>
      </c>
      <c r="C31" s="9">
        <v>51.21</v>
      </c>
      <c r="D31" s="54">
        <f t="shared" si="1"/>
        <v>2.1306385471587581</v>
      </c>
      <c r="Q31" s="52"/>
      <c r="R31" s="52"/>
    </row>
    <row r="32" spans="1:18" x14ac:dyDescent="0.3">
      <c r="A32" s="8">
        <v>20190206</v>
      </c>
      <c r="B32" s="9">
        <v>109.18</v>
      </c>
      <c r="C32" s="9">
        <v>51.23</v>
      </c>
      <c r="D32" s="54">
        <f t="shared" si="1"/>
        <v>2.1311731407378494</v>
      </c>
      <c r="Q32" s="52"/>
      <c r="R32" s="52"/>
    </row>
    <row r="33" spans="1:18" x14ac:dyDescent="0.3">
      <c r="A33" s="8">
        <v>20190207</v>
      </c>
      <c r="B33" s="9">
        <v>109.38</v>
      </c>
      <c r="C33" s="9">
        <v>51.35</v>
      </c>
      <c r="D33" s="54">
        <f t="shared" si="1"/>
        <v>2.1300876338851022</v>
      </c>
      <c r="Q33" s="52"/>
      <c r="R33" s="52"/>
    </row>
    <row r="34" spans="1:18" x14ac:dyDescent="0.3">
      <c r="A34" s="8">
        <v>20190208</v>
      </c>
      <c r="B34" s="9">
        <v>109.5</v>
      </c>
      <c r="C34" s="9">
        <v>51.38</v>
      </c>
      <c r="D34" s="54">
        <f t="shared" si="1"/>
        <v>2.1311794472557413</v>
      </c>
      <c r="Q34" s="52"/>
      <c r="R34" s="52"/>
    </row>
    <row r="35" spans="1:18" x14ac:dyDescent="0.3">
      <c r="A35" s="8">
        <v>20190211</v>
      </c>
      <c r="B35" s="9">
        <v>109.51</v>
      </c>
      <c r="C35" s="9">
        <v>51.37</v>
      </c>
      <c r="D35" s="54">
        <f t="shared" si="1"/>
        <v>2.1317889818960483</v>
      </c>
      <c r="Q35" s="52"/>
      <c r="R35" s="52"/>
    </row>
    <row r="36" spans="1:18" x14ac:dyDescent="0.3">
      <c r="A36" s="8">
        <v>20190212</v>
      </c>
      <c r="B36" s="9">
        <v>109.61</v>
      </c>
      <c r="C36" s="9">
        <v>51.37</v>
      </c>
      <c r="D36" s="54">
        <f t="shared" si="1"/>
        <v>2.1337356433716179</v>
      </c>
      <c r="Q36" s="52"/>
      <c r="R36" s="52"/>
    </row>
    <row r="37" spans="1:18" x14ac:dyDescent="0.3">
      <c r="A37" s="8">
        <v>20190213</v>
      </c>
      <c r="B37" s="9">
        <v>109.48</v>
      </c>
      <c r="C37" s="9">
        <v>51.34</v>
      </c>
      <c r="D37" s="54">
        <f t="shared" si="1"/>
        <v>2.1324503311258276</v>
      </c>
      <c r="Q37" s="52"/>
      <c r="R37" s="52"/>
    </row>
    <row r="38" spans="1:18" x14ac:dyDescent="0.3">
      <c r="A38" s="8">
        <v>20190214</v>
      </c>
      <c r="B38" s="9">
        <v>109.7</v>
      </c>
      <c r="C38" s="9">
        <v>51.36</v>
      </c>
      <c r="D38" s="54">
        <f t="shared" si="1"/>
        <v>2.1359034267912773</v>
      </c>
      <c r="Q38" s="52"/>
      <c r="R38" s="52"/>
    </row>
    <row r="39" spans="1:18" x14ac:dyDescent="0.3">
      <c r="A39" s="8">
        <v>20190215</v>
      </c>
      <c r="B39" s="9">
        <v>109.62</v>
      </c>
      <c r="C39" s="9">
        <v>51.39</v>
      </c>
      <c r="D39" s="54">
        <f t="shared" si="1"/>
        <v>2.1330998248686517</v>
      </c>
      <c r="Q39" s="52"/>
      <c r="R39" s="52"/>
    </row>
    <row r="40" spans="1:18" x14ac:dyDescent="0.3">
      <c r="A40" s="8">
        <v>20190219</v>
      </c>
      <c r="B40" s="9">
        <v>109.75</v>
      </c>
      <c r="C40" s="9">
        <v>51.43</v>
      </c>
      <c r="D40" s="54">
        <f t="shared" si="1"/>
        <v>2.1339685008749756</v>
      </c>
      <c r="Q40" s="52"/>
      <c r="R40" s="52"/>
    </row>
    <row r="41" spans="1:18" x14ac:dyDescent="0.3">
      <c r="A41" s="8">
        <v>20190220</v>
      </c>
      <c r="B41" s="9">
        <v>109.81</v>
      </c>
      <c r="C41" s="9">
        <v>51.48</v>
      </c>
      <c r="D41" s="54">
        <f t="shared" si="1"/>
        <v>2.1330613830613832</v>
      </c>
      <c r="Q41" s="52"/>
      <c r="R41" s="52"/>
    </row>
    <row r="42" spans="1:18" x14ac:dyDescent="0.3">
      <c r="A42" s="8">
        <v>20190221</v>
      </c>
      <c r="B42" s="9">
        <v>109.69</v>
      </c>
      <c r="C42" s="9">
        <v>51.42</v>
      </c>
      <c r="D42" s="54">
        <f t="shared" si="1"/>
        <v>2.1332166472189806</v>
      </c>
      <c r="Q42" s="52"/>
      <c r="R42" s="52"/>
    </row>
    <row r="43" spans="1:18" x14ac:dyDescent="0.3">
      <c r="A43" s="8">
        <v>20190222</v>
      </c>
      <c r="B43" s="9">
        <v>109.85</v>
      </c>
      <c r="C43" s="9">
        <v>51.49</v>
      </c>
      <c r="D43" s="54">
        <f t="shared" si="1"/>
        <v>2.1334239658186052</v>
      </c>
      <c r="Q43" s="52"/>
      <c r="R43" s="52"/>
    </row>
    <row r="44" spans="1:18" x14ac:dyDescent="0.3">
      <c r="A44" s="8">
        <v>20190225</v>
      </c>
      <c r="B44" s="9">
        <v>109.77</v>
      </c>
      <c r="C44" s="9">
        <v>51.46</v>
      </c>
      <c r="D44" s="54">
        <f t="shared" si="1"/>
        <v>2.133113097551496</v>
      </c>
      <c r="Q44" s="52"/>
      <c r="R44" s="52"/>
    </row>
    <row r="45" spans="1:18" x14ac:dyDescent="0.3">
      <c r="A45" s="8">
        <v>20190226</v>
      </c>
      <c r="B45" s="9">
        <v>110.02</v>
      </c>
      <c r="C45" s="9">
        <v>51.55</v>
      </c>
      <c r="D45" s="54">
        <f t="shared" si="1"/>
        <v>2.1342386032977694</v>
      </c>
      <c r="Q45" s="52"/>
      <c r="R45" s="52"/>
    </row>
    <row r="46" spans="1:18" x14ac:dyDescent="0.3">
      <c r="A46" s="8">
        <v>20190227</v>
      </c>
      <c r="B46" s="9">
        <v>109.83</v>
      </c>
      <c r="C46" s="9">
        <v>51.47</v>
      </c>
      <c r="D46" s="54">
        <f t="shared" si="1"/>
        <v>2.1338643870215659</v>
      </c>
      <c r="Q46" s="52"/>
      <c r="R46" s="52"/>
    </row>
    <row r="47" spans="1:18" x14ac:dyDescent="0.3">
      <c r="A47" s="8">
        <v>20190228</v>
      </c>
      <c r="B47" s="9">
        <v>109.81</v>
      </c>
      <c r="C47" s="9">
        <v>51.48</v>
      </c>
      <c r="D47" s="54">
        <f t="shared" si="1"/>
        <v>2.1330613830613832</v>
      </c>
      <c r="Q47" s="52"/>
      <c r="R47" s="52"/>
    </row>
    <row r="48" spans="1:18" x14ac:dyDescent="0.3">
      <c r="A48" s="8">
        <v>20190301</v>
      </c>
      <c r="B48" s="9">
        <v>109.58</v>
      </c>
      <c r="C48" s="9">
        <v>51.33</v>
      </c>
      <c r="D48" s="54">
        <f t="shared" si="1"/>
        <v>2.1348139489577247</v>
      </c>
      <c r="Q48" s="52"/>
      <c r="R48" s="52"/>
    </row>
    <row r="49" spans="1:18" x14ac:dyDescent="0.3">
      <c r="A49" s="8">
        <v>20190304</v>
      </c>
      <c r="B49" s="9">
        <v>109.66</v>
      </c>
      <c r="C49" s="9">
        <v>51.41</v>
      </c>
      <c r="D49" s="54">
        <f t="shared" si="1"/>
        <v>2.1330480451274072</v>
      </c>
      <c r="Q49" s="52"/>
      <c r="R49" s="52"/>
    </row>
    <row r="50" spans="1:18" x14ac:dyDescent="0.3">
      <c r="A50" s="8">
        <v>20190305</v>
      </c>
      <c r="B50" s="9">
        <v>109.69</v>
      </c>
      <c r="C50" s="9">
        <v>51.39</v>
      </c>
      <c r="D50" s="54">
        <f t="shared" si="1"/>
        <v>2.1344619575792954</v>
      </c>
      <c r="Q50" s="52"/>
      <c r="R50" s="52"/>
    </row>
    <row r="51" spans="1:18" x14ac:dyDescent="0.3">
      <c r="A51" s="8">
        <v>20190306</v>
      </c>
      <c r="B51" s="9">
        <v>109.8</v>
      </c>
      <c r="C51" s="9">
        <v>51.47</v>
      </c>
      <c r="D51" s="54">
        <f t="shared" si="1"/>
        <v>2.1332815232174083</v>
      </c>
      <c r="Q51" s="52"/>
      <c r="R51" s="52"/>
    </row>
    <row r="52" spans="1:18" x14ac:dyDescent="0.3">
      <c r="A52" s="8">
        <v>20190307</v>
      </c>
      <c r="B52" s="9">
        <v>110.02</v>
      </c>
      <c r="C52" s="9">
        <v>51.53</v>
      </c>
      <c r="D52" s="54">
        <f t="shared" si="1"/>
        <v>2.1350669512905101</v>
      </c>
      <c r="Q52" s="52"/>
      <c r="R52" s="52"/>
    </row>
    <row r="53" spans="1:18" x14ac:dyDescent="0.3">
      <c r="A53" s="8">
        <v>20190308</v>
      </c>
      <c r="B53" s="9">
        <v>110.05</v>
      </c>
      <c r="C53" s="9">
        <v>51.6</v>
      </c>
      <c r="D53" s="54">
        <f t="shared" si="1"/>
        <v>2.1327519379844961</v>
      </c>
      <c r="Q53" s="52"/>
      <c r="R53" s="52"/>
    </row>
    <row r="54" spans="1:18" x14ac:dyDescent="0.3">
      <c r="A54" s="8">
        <v>20190311</v>
      </c>
      <c r="B54" s="9">
        <v>110.01</v>
      </c>
      <c r="C54" s="9">
        <v>51.58</v>
      </c>
      <c r="D54" s="54">
        <f t="shared" si="1"/>
        <v>2.1328034121752619</v>
      </c>
      <c r="Q54" s="52"/>
      <c r="R54" s="52"/>
    </row>
    <row r="55" spans="1:18" x14ac:dyDescent="0.3">
      <c r="A55" s="8">
        <v>20190312</v>
      </c>
      <c r="B55" s="9">
        <v>110.14</v>
      </c>
      <c r="C55" s="9">
        <v>51.61</v>
      </c>
      <c r="D55" s="54">
        <f t="shared" si="1"/>
        <v>2.1340825421429956</v>
      </c>
      <c r="Q55" s="52"/>
      <c r="R55" s="52"/>
    </row>
    <row r="56" spans="1:18" x14ac:dyDescent="0.3">
      <c r="A56" s="8">
        <v>20190313</v>
      </c>
      <c r="B56" s="9">
        <v>110.12</v>
      </c>
      <c r="C56" s="9">
        <v>51.63</v>
      </c>
      <c r="D56" s="54">
        <f t="shared" si="1"/>
        <v>2.1328684873135773</v>
      </c>
      <c r="Q56" s="52"/>
      <c r="R56" s="52"/>
    </row>
    <row r="57" spans="1:18" x14ac:dyDescent="0.3">
      <c r="A57" s="8">
        <v>20190314</v>
      </c>
      <c r="B57" s="9">
        <v>110.03</v>
      </c>
      <c r="C57" s="9">
        <v>51.58</v>
      </c>
      <c r="D57" s="54">
        <f t="shared" si="1"/>
        <v>2.1331911593640949</v>
      </c>
      <c r="Q57" s="52"/>
      <c r="R57" s="52"/>
    </row>
    <row r="58" spans="1:18" x14ac:dyDescent="0.3">
      <c r="A58" s="8">
        <v>20190315</v>
      </c>
      <c r="B58" s="9">
        <v>110.17</v>
      </c>
      <c r="C58" s="9">
        <v>51.67</v>
      </c>
      <c r="D58" s="54">
        <f t="shared" si="1"/>
        <v>2.1321850203212698</v>
      </c>
      <c r="Q58" s="52"/>
      <c r="R58" s="52"/>
    </row>
    <row r="59" spans="1:18" x14ac:dyDescent="0.3">
      <c r="A59" s="8">
        <v>20190318</v>
      </c>
      <c r="B59" s="9">
        <v>110.17</v>
      </c>
      <c r="C59" s="9">
        <v>51.65</v>
      </c>
      <c r="D59" s="54">
        <f t="shared" si="1"/>
        <v>2.1330106485963216</v>
      </c>
      <c r="Q59" s="52"/>
      <c r="R59" s="52"/>
    </row>
    <row r="60" spans="1:18" x14ac:dyDescent="0.3">
      <c r="A60" s="8">
        <v>20190319</v>
      </c>
      <c r="B60" s="9">
        <v>110.23</v>
      </c>
      <c r="C60" s="9">
        <v>51.68</v>
      </c>
      <c r="D60" s="54">
        <f t="shared" si="1"/>
        <v>2.1329334365325079</v>
      </c>
      <c r="Q60" s="52"/>
      <c r="R60" s="52"/>
    </row>
    <row r="61" spans="1:18" x14ac:dyDescent="0.3">
      <c r="A61" s="8">
        <v>20190320</v>
      </c>
      <c r="B61" s="9">
        <v>110.39</v>
      </c>
      <c r="C61" s="9">
        <v>51.75</v>
      </c>
      <c r="D61" s="54">
        <f t="shared" si="1"/>
        <v>2.1331400966183574</v>
      </c>
      <c r="Q61" s="52"/>
      <c r="R61" s="52"/>
    </row>
    <row r="62" spans="1:18" x14ac:dyDescent="0.3">
      <c r="A62" s="8">
        <v>20190321</v>
      </c>
      <c r="B62" s="9">
        <v>110.54</v>
      </c>
      <c r="C62" s="9">
        <v>51.82</v>
      </c>
      <c r="D62" s="54">
        <f t="shared" si="1"/>
        <v>2.1331532226939407</v>
      </c>
      <c r="Q62" s="52"/>
      <c r="R62" s="52"/>
    </row>
    <row r="63" spans="1:18" x14ac:dyDescent="0.3">
      <c r="A63" s="8">
        <v>20190322</v>
      </c>
      <c r="B63" s="9">
        <v>111</v>
      </c>
      <c r="C63" s="9">
        <v>52.02</v>
      </c>
      <c r="D63" s="54">
        <f t="shared" si="1"/>
        <v>2.1337946943483272</v>
      </c>
      <c r="Q63" s="52"/>
      <c r="R63" s="52"/>
    </row>
    <row r="64" spans="1:18" x14ac:dyDescent="0.3">
      <c r="A64" s="8">
        <v>20190325</v>
      </c>
      <c r="B64" s="9">
        <v>111.08</v>
      </c>
      <c r="C64" s="9">
        <v>52.07</v>
      </c>
      <c r="D64" s="54">
        <f t="shared" si="1"/>
        <v>2.133282120222777</v>
      </c>
      <c r="Q64" s="52"/>
      <c r="R64" s="52"/>
    </row>
    <row r="65" spans="1:18" x14ac:dyDescent="0.3">
      <c r="A65" s="8">
        <v>20190326</v>
      </c>
      <c r="B65" s="9">
        <v>111.16</v>
      </c>
      <c r="C65" s="9">
        <v>52.1</v>
      </c>
      <c r="D65" s="54">
        <f t="shared" si="1"/>
        <v>2.1335892514395391</v>
      </c>
      <c r="Q65" s="52"/>
      <c r="R65" s="52"/>
    </row>
    <row r="66" spans="1:18" x14ac:dyDescent="0.3">
      <c r="A66" s="8">
        <v>20190327</v>
      </c>
      <c r="B66" s="9">
        <v>111.29</v>
      </c>
      <c r="C66" s="9">
        <v>52.18</v>
      </c>
      <c r="D66" s="54">
        <f t="shared" si="1"/>
        <v>2.132809505557685</v>
      </c>
      <c r="Q66" s="52"/>
      <c r="R66" s="52"/>
    </row>
    <row r="67" spans="1:18" x14ac:dyDescent="0.3">
      <c r="A67" s="8">
        <v>20190328</v>
      </c>
      <c r="B67" s="9">
        <v>111.36</v>
      </c>
      <c r="C67" s="9">
        <v>52.21</v>
      </c>
      <c r="D67" s="54">
        <f t="shared" si="1"/>
        <v>2.1329247270637808</v>
      </c>
      <c r="Q67" s="52"/>
      <c r="R67" s="52"/>
    </row>
    <row r="68" spans="1:18" x14ac:dyDescent="0.3">
      <c r="A68" s="8">
        <v>20190329</v>
      </c>
      <c r="B68" s="9">
        <v>111.19</v>
      </c>
      <c r="C68" s="9">
        <v>52.15</v>
      </c>
      <c r="D68" s="54">
        <f t="shared" si="1"/>
        <v>2.1321188878235859</v>
      </c>
      <c r="Q68" s="52"/>
      <c r="R68" s="52"/>
    </row>
    <row r="69" spans="1:18" x14ac:dyDescent="0.3">
      <c r="A69" s="8">
        <v>20190401</v>
      </c>
      <c r="B69" s="9">
        <v>110.75</v>
      </c>
      <c r="C69" s="9">
        <v>52.01</v>
      </c>
      <c r="D69" s="54">
        <f t="shared" si="1"/>
        <v>2.1293981926552585</v>
      </c>
      <c r="Q69" s="52"/>
      <c r="R69" s="52"/>
    </row>
    <row r="70" spans="1:18" x14ac:dyDescent="0.3">
      <c r="A70" s="8">
        <v>20190402</v>
      </c>
      <c r="B70" s="9">
        <v>110.84</v>
      </c>
      <c r="C70" s="9">
        <v>52</v>
      </c>
      <c r="D70" s="54">
        <f t="shared" si="1"/>
        <v>2.1315384615384616</v>
      </c>
      <c r="Q70" s="52"/>
      <c r="R70" s="52"/>
    </row>
    <row r="71" spans="1:18" x14ac:dyDescent="0.3">
      <c r="A71" s="8">
        <v>20190403</v>
      </c>
      <c r="B71" s="9">
        <v>110.69</v>
      </c>
      <c r="C71" s="9">
        <v>51.93</v>
      </c>
      <c r="D71" s="54">
        <f t="shared" si="1"/>
        <v>2.1315232043134991</v>
      </c>
      <c r="Q71" s="52"/>
      <c r="R71" s="52"/>
    </row>
    <row r="72" spans="1:18" x14ac:dyDescent="0.3">
      <c r="A72" s="8">
        <v>20190404</v>
      </c>
      <c r="B72" s="9">
        <v>110.68</v>
      </c>
      <c r="C72" s="9">
        <v>51.94</v>
      </c>
      <c r="D72" s="54">
        <f t="shared" si="1"/>
        <v>2.1309202926453601</v>
      </c>
      <c r="Q72" s="52"/>
      <c r="R72" s="52"/>
    </row>
    <row r="73" spans="1:18" x14ac:dyDescent="0.3">
      <c r="A73" s="8">
        <v>20190405</v>
      </c>
      <c r="B73" s="9">
        <v>110.74</v>
      </c>
      <c r="C73" s="9">
        <v>51.96</v>
      </c>
      <c r="D73" s="54">
        <f t="shared" si="1"/>
        <v>2.1312548113933794</v>
      </c>
      <c r="Q73" s="52"/>
      <c r="R73" s="52"/>
    </row>
    <row r="74" spans="1:18" x14ac:dyDescent="0.3">
      <c r="A74" s="8">
        <v>20190408</v>
      </c>
      <c r="B74" s="9">
        <v>110.67</v>
      </c>
      <c r="C74" s="9">
        <v>51.95</v>
      </c>
      <c r="D74" s="54">
        <f t="shared" si="1"/>
        <v>2.1303176130895092</v>
      </c>
      <c r="Q74" s="52"/>
      <c r="R74" s="52"/>
    </row>
    <row r="75" spans="1:18" x14ac:dyDescent="0.3">
      <c r="A75" s="8">
        <v>20190409</v>
      </c>
      <c r="B75" s="9">
        <v>110.82</v>
      </c>
      <c r="C75" s="9">
        <v>51.98</v>
      </c>
      <c r="D75" s="54">
        <f t="shared" si="1"/>
        <v>2.131973836090804</v>
      </c>
      <c r="Q75" s="52"/>
      <c r="R75" s="52"/>
    </row>
    <row r="76" spans="1:18" x14ac:dyDescent="0.3">
      <c r="A76" s="8">
        <v>20190410</v>
      </c>
      <c r="B76" s="9">
        <v>110.9</v>
      </c>
      <c r="C76" s="9">
        <v>51.99</v>
      </c>
      <c r="D76" s="54">
        <f t="shared" si="1"/>
        <v>2.1331025197153299</v>
      </c>
      <c r="Q76" s="52"/>
      <c r="R76" s="52"/>
    </row>
    <row r="77" spans="1:18" x14ac:dyDescent="0.3">
      <c r="A77" s="8">
        <v>20190411</v>
      </c>
      <c r="B77" s="9">
        <v>110.87</v>
      </c>
      <c r="C77" s="9">
        <v>52</v>
      </c>
      <c r="D77" s="54">
        <f t="shared" ref="D77:D140" si="4">B77/C77</f>
        <v>2.1321153846153846</v>
      </c>
      <c r="Q77" s="52"/>
      <c r="R77" s="52"/>
    </row>
    <row r="78" spans="1:18" x14ac:dyDescent="0.3">
      <c r="A78" s="8">
        <v>20190412</v>
      </c>
      <c r="B78" s="9">
        <v>110.67</v>
      </c>
      <c r="C78" s="9">
        <v>51.95</v>
      </c>
      <c r="D78" s="54">
        <f t="shared" si="4"/>
        <v>2.1303176130895092</v>
      </c>
      <c r="Q78" s="52"/>
      <c r="R78" s="52"/>
    </row>
    <row r="79" spans="1:18" x14ac:dyDescent="0.3">
      <c r="A79" s="8">
        <v>20190415</v>
      </c>
      <c r="B79" s="9">
        <v>110.82</v>
      </c>
      <c r="C79" s="9">
        <v>51.99</v>
      </c>
      <c r="D79" s="54">
        <f t="shared" si="4"/>
        <v>2.1315637622619734</v>
      </c>
      <c r="Q79" s="52"/>
      <c r="R79" s="52"/>
    </row>
    <row r="80" spans="1:18" x14ac:dyDescent="0.3">
      <c r="A80" s="8">
        <v>20190416</v>
      </c>
      <c r="B80" s="9">
        <v>110.76</v>
      </c>
      <c r="C80" s="9">
        <v>51.99</v>
      </c>
      <c r="D80" s="54">
        <f t="shared" si="4"/>
        <v>2.1304096941719561</v>
      </c>
      <c r="Q80" s="52"/>
      <c r="R80" s="52"/>
    </row>
    <row r="81" spans="1:18" x14ac:dyDescent="0.3">
      <c r="A81" s="8">
        <v>20190417</v>
      </c>
      <c r="B81" s="9">
        <v>110.8</v>
      </c>
      <c r="C81" s="9">
        <v>51.96</v>
      </c>
      <c r="D81" s="54">
        <f t="shared" si="4"/>
        <v>2.1324095458044647</v>
      </c>
      <c r="Q81" s="52"/>
      <c r="R81" s="52"/>
    </row>
    <row r="82" spans="1:18" x14ac:dyDescent="0.3">
      <c r="A82" s="8">
        <v>20190418</v>
      </c>
      <c r="B82" s="9">
        <v>110.87</v>
      </c>
      <c r="C82" s="9">
        <v>52</v>
      </c>
      <c r="D82" s="54">
        <f t="shared" si="4"/>
        <v>2.1321153846153846</v>
      </c>
      <c r="Q82" s="52"/>
      <c r="R82" s="52"/>
    </row>
    <row r="83" spans="1:18" x14ac:dyDescent="0.3">
      <c r="A83" s="8">
        <v>20190422</v>
      </c>
      <c r="B83" s="9">
        <v>110.9</v>
      </c>
      <c r="C83" s="9">
        <v>52.02</v>
      </c>
      <c r="D83" s="54">
        <f t="shared" si="4"/>
        <v>2.1318723567858515</v>
      </c>
      <c r="Q83" s="52"/>
      <c r="R83" s="52"/>
    </row>
    <row r="84" spans="1:18" x14ac:dyDescent="0.3">
      <c r="A84" s="8">
        <v>20190423</v>
      </c>
      <c r="B84" s="9">
        <v>111.05</v>
      </c>
      <c r="C84" s="9">
        <v>52.04</v>
      </c>
      <c r="D84" s="54">
        <f t="shared" si="4"/>
        <v>2.1339354342813222</v>
      </c>
      <c r="Q84" s="52"/>
      <c r="R84" s="52"/>
    </row>
    <row r="85" spans="1:18" x14ac:dyDescent="0.3">
      <c r="A85" s="8">
        <v>20190424</v>
      </c>
      <c r="B85" s="9">
        <v>111.3</v>
      </c>
      <c r="C85" s="9">
        <v>52.15</v>
      </c>
      <c r="D85" s="54">
        <f t="shared" si="4"/>
        <v>2.1342281879194629</v>
      </c>
      <c r="Q85" s="52"/>
      <c r="R85" s="52"/>
    </row>
    <row r="86" spans="1:18" x14ac:dyDescent="0.3">
      <c r="A86" s="8">
        <v>20190425</v>
      </c>
      <c r="B86" s="9">
        <v>111.33</v>
      </c>
      <c r="C86" s="9">
        <v>52.16</v>
      </c>
      <c r="D86" s="54">
        <f t="shared" si="4"/>
        <v>2.134394171779141</v>
      </c>
      <c r="Q86" s="52"/>
      <c r="R86" s="52"/>
    </row>
    <row r="87" spans="1:18" x14ac:dyDescent="0.3">
      <c r="A87" s="8">
        <v>20190426</v>
      </c>
      <c r="B87" s="9">
        <v>111.49</v>
      </c>
      <c r="C87" s="9">
        <v>52.28</v>
      </c>
      <c r="D87" s="54">
        <f t="shared" si="4"/>
        <v>2.1325554705432288</v>
      </c>
      <c r="Q87" s="52"/>
      <c r="R87" s="52"/>
    </row>
    <row r="88" spans="1:18" x14ac:dyDescent="0.3">
      <c r="A88" s="8">
        <v>20190429</v>
      </c>
      <c r="B88" s="9">
        <v>111.45</v>
      </c>
      <c r="C88" s="9">
        <v>52.26</v>
      </c>
      <c r="D88" s="54">
        <f t="shared" si="4"/>
        <v>2.1326061997703789</v>
      </c>
      <c r="Q88" s="52"/>
      <c r="R88" s="52"/>
    </row>
    <row r="89" spans="1:18" x14ac:dyDescent="0.3">
      <c r="A89" s="8">
        <v>20190430</v>
      </c>
      <c r="B89" s="9">
        <v>111.54</v>
      </c>
      <c r="C89" s="9">
        <v>52.29</v>
      </c>
      <c r="D89" s="54">
        <f t="shared" si="4"/>
        <v>2.1331038439472176</v>
      </c>
      <c r="Q89" s="52"/>
      <c r="R89" s="52"/>
    </row>
    <row r="90" spans="1:18" x14ac:dyDescent="0.3">
      <c r="A90" s="8">
        <v>20190501</v>
      </c>
      <c r="B90" s="9">
        <v>111.38</v>
      </c>
      <c r="C90" s="9">
        <v>52.2</v>
      </c>
      <c r="D90" s="54">
        <f t="shared" si="4"/>
        <v>2.1337164750957851</v>
      </c>
      <c r="Q90" s="52"/>
      <c r="R90" s="52"/>
    </row>
    <row r="91" spans="1:18" x14ac:dyDescent="0.3">
      <c r="A91" s="8">
        <v>20190502</v>
      </c>
      <c r="B91" s="9">
        <v>111.34</v>
      </c>
      <c r="C91" s="9">
        <v>52.21</v>
      </c>
      <c r="D91" s="54">
        <f t="shared" si="4"/>
        <v>2.1325416586860757</v>
      </c>
      <c r="Q91" s="52"/>
      <c r="R91" s="52"/>
    </row>
    <row r="92" spans="1:18" x14ac:dyDescent="0.3">
      <c r="A92" s="8">
        <v>20190503</v>
      </c>
      <c r="B92" s="9">
        <v>111.46</v>
      </c>
      <c r="C92" s="9">
        <v>52.25</v>
      </c>
      <c r="D92" s="54">
        <f t="shared" si="4"/>
        <v>2.133205741626794</v>
      </c>
      <c r="Q92" s="52"/>
      <c r="R92" s="52"/>
    </row>
    <row r="93" spans="1:18" x14ac:dyDescent="0.3">
      <c r="A93" s="8">
        <v>20190506</v>
      </c>
      <c r="B93" s="9">
        <v>111.6</v>
      </c>
      <c r="C93" s="9">
        <v>52.35</v>
      </c>
      <c r="D93" s="54">
        <f t="shared" si="4"/>
        <v>2.1318051575931229</v>
      </c>
      <c r="Q93" s="52"/>
      <c r="R93" s="52"/>
    </row>
    <row r="94" spans="1:18" x14ac:dyDescent="0.3">
      <c r="A94" s="8">
        <v>20190507</v>
      </c>
      <c r="B94" s="9">
        <v>111.78</v>
      </c>
      <c r="C94" s="9">
        <v>52.38</v>
      </c>
      <c r="D94" s="54">
        <f t="shared" si="4"/>
        <v>2.134020618556701</v>
      </c>
      <c r="Q94" s="52"/>
      <c r="R94" s="52"/>
    </row>
    <row r="95" spans="1:18" x14ac:dyDescent="0.3">
      <c r="A95" s="8">
        <v>20190508</v>
      </c>
      <c r="B95" s="9">
        <v>111.67</v>
      </c>
      <c r="C95" s="9">
        <v>52.38</v>
      </c>
      <c r="D95" s="54">
        <f t="shared" si="4"/>
        <v>2.1319205803741887</v>
      </c>
      <c r="Q95" s="52"/>
      <c r="R95" s="52"/>
    </row>
    <row r="96" spans="1:18" x14ac:dyDescent="0.3">
      <c r="A96" s="8">
        <v>20190509</v>
      </c>
      <c r="B96" s="9">
        <v>111.88</v>
      </c>
      <c r="C96" s="9">
        <v>52.5</v>
      </c>
      <c r="D96" s="54">
        <f t="shared" si="4"/>
        <v>2.1310476190476191</v>
      </c>
      <c r="Q96" s="52"/>
      <c r="R96" s="52"/>
    </row>
    <row r="97" spans="1:18" x14ac:dyDescent="0.3">
      <c r="A97" s="8">
        <v>20190510</v>
      </c>
      <c r="B97" s="9">
        <v>111.89</v>
      </c>
      <c r="C97" s="9">
        <v>52.52</v>
      </c>
      <c r="D97" s="54">
        <f t="shared" si="4"/>
        <v>2.1304265041888804</v>
      </c>
      <c r="Q97" s="52"/>
      <c r="R97" s="52"/>
    </row>
    <row r="98" spans="1:18" x14ac:dyDescent="0.3">
      <c r="A98" s="8">
        <v>20190513</v>
      </c>
      <c r="B98" s="9">
        <v>112.15</v>
      </c>
      <c r="C98" s="9">
        <v>52.6</v>
      </c>
      <c r="D98" s="54">
        <f t="shared" si="4"/>
        <v>2.1321292775665399</v>
      </c>
      <c r="Q98" s="52"/>
      <c r="R98" s="52"/>
    </row>
    <row r="99" spans="1:18" x14ac:dyDescent="0.3">
      <c r="A99" s="8">
        <v>20190514</v>
      </c>
      <c r="B99" s="9">
        <v>112.2</v>
      </c>
      <c r="C99" s="9">
        <v>52.6</v>
      </c>
      <c r="D99" s="54">
        <f t="shared" si="4"/>
        <v>2.1330798479087454</v>
      </c>
      <c r="Q99" s="52"/>
      <c r="R99" s="52"/>
    </row>
    <row r="100" spans="1:18" x14ac:dyDescent="0.3">
      <c r="A100" s="8">
        <v>20190515</v>
      </c>
      <c r="B100" s="9">
        <v>112.41</v>
      </c>
      <c r="C100" s="9">
        <v>52.69</v>
      </c>
      <c r="D100" s="54">
        <f t="shared" si="4"/>
        <v>2.1334219016891249</v>
      </c>
      <c r="Q100" s="52"/>
      <c r="R100" s="52"/>
    </row>
    <row r="101" spans="1:18" x14ac:dyDescent="0.3">
      <c r="A101" s="8">
        <v>20190516</v>
      </c>
      <c r="B101" s="9">
        <v>112.38</v>
      </c>
      <c r="C101" s="9">
        <v>52.7</v>
      </c>
      <c r="D101" s="54">
        <f t="shared" si="4"/>
        <v>2.132447817836812</v>
      </c>
      <c r="Q101" s="52"/>
      <c r="R101" s="52"/>
    </row>
    <row r="102" spans="1:18" x14ac:dyDescent="0.3">
      <c r="A102" s="8">
        <v>20190517</v>
      </c>
      <c r="B102" s="9">
        <v>112.43</v>
      </c>
      <c r="C102" s="9">
        <v>52.72</v>
      </c>
      <c r="D102" s="54">
        <f t="shared" si="4"/>
        <v>2.1325872534142643</v>
      </c>
      <c r="Q102" s="52"/>
      <c r="R102" s="52"/>
    </row>
    <row r="103" spans="1:18" x14ac:dyDescent="0.3">
      <c r="A103" s="8">
        <v>20190520</v>
      </c>
      <c r="B103" s="9">
        <v>112.39</v>
      </c>
      <c r="C103" s="9">
        <v>52.71</v>
      </c>
      <c r="D103" s="54">
        <f t="shared" si="4"/>
        <v>2.132232972870423</v>
      </c>
      <c r="Q103" s="52"/>
      <c r="R103" s="52"/>
    </row>
    <row r="104" spans="1:18" x14ac:dyDescent="0.3">
      <c r="A104" s="8">
        <v>20190521</v>
      </c>
      <c r="B104" s="9">
        <v>112.26</v>
      </c>
      <c r="C104" s="9">
        <v>52.64</v>
      </c>
      <c r="D104" s="54">
        <f t="shared" si="4"/>
        <v>2.1325987841945291</v>
      </c>
      <c r="Q104" s="52"/>
      <c r="R104" s="52"/>
    </row>
    <row r="105" spans="1:18" x14ac:dyDescent="0.3">
      <c r="A105" s="8">
        <v>20190522</v>
      </c>
      <c r="B105" s="9">
        <v>112.36</v>
      </c>
      <c r="C105" s="9">
        <v>52.68</v>
      </c>
      <c r="D105" s="54">
        <f t="shared" si="4"/>
        <v>2.1328777524677296</v>
      </c>
      <c r="Q105" s="52"/>
      <c r="R105" s="52"/>
    </row>
    <row r="106" spans="1:18" x14ac:dyDescent="0.3">
      <c r="A106" s="8">
        <v>20190523</v>
      </c>
      <c r="B106" s="9">
        <v>112.42</v>
      </c>
      <c r="C106" s="9">
        <v>52.74</v>
      </c>
      <c r="D106" s="54">
        <f t="shared" si="4"/>
        <v>2.1315889268107697</v>
      </c>
      <c r="Q106" s="52"/>
      <c r="R106" s="52"/>
    </row>
    <row r="107" spans="1:18" x14ac:dyDescent="0.3">
      <c r="A107" s="8">
        <v>20190524</v>
      </c>
      <c r="B107" s="9">
        <v>112.5</v>
      </c>
      <c r="C107" s="9">
        <v>52.75</v>
      </c>
      <c r="D107" s="54">
        <f t="shared" si="4"/>
        <v>2.1327014218009479</v>
      </c>
      <c r="Q107" s="52"/>
      <c r="R107" s="52"/>
    </row>
    <row r="108" spans="1:18" x14ac:dyDescent="0.3">
      <c r="A108" s="8">
        <v>20190528</v>
      </c>
      <c r="B108" s="9">
        <v>112.55</v>
      </c>
      <c r="C108" s="9">
        <v>52.75</v>
      </c>
      <c r="D108" s="54">
        <f t="shared" si="4"/>
        <v>2.1336492890995262</v>
      </c>
      <c r="Q108" s="52"/>
      <c r="R108" s="52"/>
    </row>
    <row r="109" spans="1:18" x14ac:dyDescent="0.3">
      <c r="A109" s="8">
        <v>20190529</v>
      </c>
      <c r="B109" s="9">
        <v>112.6</v>
      </c>
      <c r="C109" s="9">
        <v>52.83</v>
      </c>
      <c r="D109" s="54">
        <f t="shared" si="4"/>
        <v>2.1313647548741246</v>
      </c>
      <c r="Q109" s="52"/>
      <c r="R109" s="52"/>
    </row>
    <row r="110" spans="1:18" x14ac:dyDescent="0.3">
      <c r="A110" s="8">
        <v>20190530</v>
      </c>
      <c r="B110" s="9">
        <v>112.67</v>
      </c>
      <c r="C110" s="9">
        <v>52.88</v>
      </c>
      <c r="D110" s="54">
        <f t="shared" si="4"/>
        <v>2.1306732223903175</v>
      </c>
      <c r="Q110" s="52"/>
      <c r="R110" s="52"/>
    </row>
    <row r="111" spans="1:18" x14ac:dyDescent="0.3">
      <c r="A111" s="8">
        <v>20190531</v>
      </c>
      <c r="B111" s="9">
        <v>112.87</v>
      </c>
      <c r="C111" s="9">
        <v>52.98</v>
      </c>
      <c r="D111" s="54">
        <f t="shared" si="4"/>
        <v>2.1304265760664403</v>
      </c>
      <c r="Q111" s="52"/>
      <c r="R111" s="52"/>
    </row>
    <row r="112" spans="1:18" x14ac:dyDescent="0.3">
      <c r="A112" s="8">
        <v>20190603</v>
      </c>
      <c r="B112" s="9">
        <v>112.85</v>
      </c>
      <c r="C112" s="9">
        <v>52.94</v>
      </c>
      <c r="D112" s="54">
        <f t="shared" si="4"/>
        <v>2.1316584812995845</v>
      </c>
      <c r="Q112" s="52"/>
      <c r="R112" s="52"/>
    </row>
    <row r="113" spans="1:18" x14ac:dyDescent="0.3">
      <c r="A113" s="8">
        <v>20190604</v>
      </c>
      <c r="B113" s="9">
        <v>112.73</v>
      </c>
      <c r="C113" s="9">
        <v>52.91</v>
      </c>
      <c r="D113" s="54">
        <f t="shared" si="4"/>
        <v>2.1305991305991308</v>
      </c>
      <c r="Q113" s="52"/>
      <c r="R113" s="52"/>
    </row>
    <row r="114" spans="1:18" x14ac:dyDescent="0.3">
      <c r="A114" s="8">
        <v>20190605</v>
      </c>
      <c r="B114" s="9">
        <v>112.67</v>
      </c>
      <c r="C114" s="9">
        <v>52.88</v>
      </c>
      <c r="D114" s="54">
        <f t="shared" si="4"/>
        <v>2.1306732223903175</v>
      </c>
      <c r="Q114" s="52"/>
      <c r="R114" s="52"/>
    </row>
    <row r="115" spans="1:18" x14ac:dyDescent="0.3">
      <c r="A115" s="8">
        <v>20190606</v>
      </c>
      <c r="B115" s="9">
        <v>112.56</v>
      </c>
      <c r="C115" s="9">
        <v>52.88</v>
      </c>
      <c r="D115" s="54">
        <f t="shared" si="4"/>
        <v>2.1285930408472011</v>
      </c>
      <c r="Q115" s="52"/>
      <c r="R115" s="52"/>
    </row>
    <row r="116" spans="1:18" x14ac:dyDescent="0.3">
      <c r="A116" s="8">
        <v>20190607</v>
      </c>
      <c r="B116" s="9">
        <v>112.88</v>
      </c>
      <c r="C116" s="9">
        <v>52.97</v>
      </c>
      <c r="D116" s="54">
        <f t="shared" si="4"/>
        <v>2.1310175571077967</v>
      </c>
      <c r="Q116" s="52"/>
      <c r="R116" s="52"/>
    </row>
    <row r="117" spans="1:18" x14ac:dyDescent="0.3">
      <c r="A117" s="8">
        <v>20190610</v>
      </c>
      <c r="B117" s="9">
        <v>112.73</v>
      </c>
      <c r="C117" s="9">
        <v>52.89</v>
      </c>
      <c r="D117" s="54">
        <f t="shared" si="4"/>
        <v>2.1314048024201173</v>
      </c>
      <c r="Q117" s="52"/>
      <c r="R117" s="52"/>
    </row>
    <row r="118" spans="1:18" x14ac:dyDescent="0.3">
      <c r="A118" s="8">
        <v>20190611</v>
      </c>
      <c r="B118" s="9">
        <v>112.68</v>
      </c>
      <c r="C118" s="9">
        <v>52.9</v>
      </c>
      <c r="D118" s="54">
        <f t="shared" si="4"/>
        <v>2.1300567107750474</v>
      </c>
      <c r="Q118" s="52"/>
      <c r="R118" s="52"/>
    </row>
    <row r="119" spans="1:18" x14ac:dyDescent="0.3">
      <c r="A119" s="8">
        <v>20190612</v>
      </c>
      <c r="B119" s="9">
        <v>112.71</v>
      </c>
      <c r="C119" s="9">
        <v>52.91</v>
      </c>
      <c r="D119" s="54">
        <f t="shared" si="4"/>
        <v>2.13022113022113</v>
      </c>
      <c r="Q119" s="52"/>
      <c r="R119" s="52"/>
    </row>
    <row r="120" spans="1:18" x14ac:dyDescent="0.3">
      <c r="A120" s="8">
        <v>20190613</v>
      </c>
      <c r="B120" s="9">
        <v>112.75</v>
      </c>
      <c r="C120" s="9">
        <v>52.9</v>
      </c>
      <c r="D120" s="54">
        <f t="shared" si="4"/>
        <v>2.1313799621928169</v>
      </c>
      <c r="Q120" s="52"/>
      <c r="R120" s="52"/>
    </row>
    <row r="121" spans="1:18" x14ac:dyDescent="0.3">
      <c r="A121" s="8">
        <v>20190614</v>
      </c>
      <c r="B121" s="9">
        <v>112.78</v>
      </c>
      <c r="C121" s="9">
        <v>52.9</v>
      </c>
      <c r="D121" s="54">
        <f t="shared" si="4"/>
        <v>2.1319470699432892</v>
      </c>
      <c r="Q121" s="52"/>
      <c r="R121" s="52"/>
    </row>
    <row r="122" spans="1:18" x14ac:dyDescent="0.3">
      <c r="A122" s="8">
        <v>20190617</v>
      </c>
      <c r="B122" s="9">
        <v>112.73</v>
      </c>
      <c r="C122" s="9">
        <v>52.91</v>
      </c>
      <c r="D122" s="54">
        <f t="shared" si="4"/>
        <v>2.1305991305991308</v>
      </c>
      <c r="Q122" s="52"/>
      <c r="R122" s="52"/>
    </row>
    <row r="123" spans="1:18" x14ac:dyDescent="0.3">
      <c r="A123" s="8">
        <v>20190618</v>
      </c>
      <c r="B123" s="9">
        <v>112.86</v>
      </c>
      <c r="C123" s="9">
        <v>52.94</v>
      </c>
      <c r="D123" s="54">
        <f t="shared" si="4"/>
        <v>2.1318473743860977</v>
      </c>
      <c r="Q123" s="52"/>
      <c r="R123" s="52"/>
    </row>
    <row r="124" spans="1:18" x14ac:dyDescent="0.3">
      <c r="A124" s="8">
        <v>20190619</v>
      </c>
      <c r="B124" s="9">
        <v>112.87</v>
      </c>
      <c r="C124" s="9">
        <v>52.93</v>
      </c>
      <c r="D124" s="54">
        <f t="shared" si="4"/>
        <v>2.1324390704704328</v>
      </c>
      <c r="Q124" s="52"/>
      <c r="R124" s="52"/>
    </row>
    <row r="125" spans="1:18" x14ac:dyDescent="0.3">
      <c r="A125" s="8">
        <v>20190620</v>
      </c>
      <c r="B125" s="9">
        <v>112.97</v>
      </c>
      <c r="C125" s="9">
        <v>53.02</v>
      </c>
      <c r="D125" s="54">
        <f t="shared" si="4"/>
        <v>2.1307053941908713</v>
      </c>
      <c r="Q125" s="52"/>
      <c r="R125" s="52"/>
    </row>
    <row r="126" spans="1:18" x14ac:dyDescent="0.3">
      <c r="A126" s="8">
        <v>20190621</v>
      </c>
      <c r="B126" s="9">
        <v>112.85</v>
      </c>
      <c r="C126" s="9">
        <v>52.98</v>
      </c>
      <c r="D126" s="54">
        <f t="shared" si="4"/>
        <v>2.1300490751226877</v>
      </c>
      <c r="Q126" s="52"/>
      <c r="R126" s="52"/>
    </row>
    <row r="127" spans="1:18" x14ac:dyDescent="0.3">
      <c r="A127" s="8">
        <v>20190624</v>
      </c>
      <c r="B127" s="9">
        <v>112.98</v>
      </c>
      <c r="C127" s="9">
        <v>53.02</v>
      </c>
      <c r="D127" s="54">
        <f t="shared" si="4"/>
        <v>2.1308940022632967</v>
      </c>
      <c r="Q127" s="52"/>
      <c r="R127" s="52"/>
    </row>
    <row r="128" spans="1:18" x14ac:dyDescent="0.3">
      <c r="A128" s="8">
        <v>20190625</v>
      </c>
      <c r="B128" s="9">
        <v>113</v>
      </c>
      <c r="C128" s="9">
        <v>53.02</v>
      </c>
      <c r="D128" s="54">
        <f t="shared" si="4"/>
        <v>2.1312712184081479</v>
      </c>
      <c r="Q128" s="52"/>
      <c r="R128" s="52"/>
    </row>
    <row r="129" spans="1:18" x14ac:dyDescent="0.3">
      <c r="A129" s="8">
        <v>20190626</v>
      </c>
      <c r="B129" s="9">
        <v>112.9</v>
      </c>
      <c r="C129" s="9">
        <v>53</v>
      </c>
      <c r="D129" s="54">
        <f t="shared" si="4"/>
        <v>2.1301886792452831</v>
      </c>
      <c r="Q129" s="52"/>
      <c r="R129" s="52"/>
    </row>
    <row r="130" spans="1:18" x14ac:dyDescent="0.3">
      <c r="A130" s="8">
        <v>20190627</v>
      </c>
      <c r="B130" s="9">
        <v>113.08</v>
      </c>
      <c r="C130" s="9">
        <v>53.06</v>
      </c>
      <c r="D130" s="54">
        <f t="shared" si="4"/>
        <v>2.1311722578213343</v>
      </c>
      <c r="Q130" s="52"/>
      <c r="R130" s="52"/>
    </row>
    <row r="131" spans="1:18" x14ac:dyDescent="0.3">
      <c r="A131" s="8">
        <v>20190628</v>
      </c>
      <c r="B131" s="9">
        <v>113.09</v>
      </c>
      <c r="C131" s="9">
        <v>53.07</v>
      </c>
      <c r="D131" s="54">
        <f t="shared" si="4"/>
        <v>2.1309591106086301</v>
      </c>
      <c r="Q131" s="52"/>
      <c r="R131" s="52"/>
    </row>
    <row r="132" spans="1:18" x14ac:dyDescent="0.3">
      <c r="A132" s="8">
        <v>20190701</v>
      </c>
      <c r="B132" s="9">
        <v>112.74</v>
      </c>
      <c r="C132" s="9">
        <v>52.94</v>
      </c>
      <c r="D132" s="54">
        <f t="shared" si="4"/>
        <v>2.1295806573479412</v>
      </c>
      <c r="Q132" s="52"/>
      <c r="R132" s="52"/>
    </row>
    <row r="133" spans="1:18" x14ac:dyDescent="0.3">
      <c r="A133" s="8">
        <v>20190702</v>
      </c>
      <c r="B133" s="9">
        <v>113</v>
      </c>
      <c r="C133" s="9">
        <v>53.03</v>
      </c>
      <c r="D133" s="54">
        <f t="shared" si="4"/>
        <v>2.1308693192532528</v>
      </c>
      <c r="Q133" s="52"/>
      <c r="R133" s="52"/>
    </row>
    <row r="134" spans="1:18" x14ac:dyDescent="0.3">
      <c r="A134" s="8">
        <v>20190703</v>
      </c>
      <c r="B134" s="9">
        <v>113.07</v>
      </c>
      <c r="C134" s="9">
        <v>53.06</v>
      </c>
      <c r="D134" s="54">
        <f t="shared" si="4"/>
        <v>2.1309837919336596</v>
      </c>
      <c r="Q134" s="52"/>
      <c r="R134" s="52"/>
    </row>
    <row r="135" spans="1:18" x14ac:dyDescent="0.3">
      <c r="A135" s="8">
        <v>20190705</v>
      </c>
      <c r="B135" s="9">
        <v>112.94</v>
      </c>
      <c r="C135" s="9">
        <v>52.98</v>
      </c>
      <c r="D135" s="54">
        <f t="shared" si="4"/>
        <v>2.1317478293695733</v>
      </c>
      <c r="Q135" s="52"/>
      <c r="R135" s="52"/>
    </row>
    <row r="136" spans="1:18" x14ac:dyDescent="0.3">
      <c r="A136" s="8">
        <v>20190708</v>
      </c>
      <c r="B136" s="9">
        <v>113.01</v>
      </c>
      <c r="C136" s="9">
        <v>53.02</v>
      </c>
      <c r="D136" s="54">
        <f t="shared" si="4"/>
        <v>2.1314598264805733</v>
      </c>
      <c r="Q136" s="52"/>
      <c r="R136" s="52"/>
    </row>
    <row r="137" spans="1:18" x14ac:dyDescent="0.3">
      <c r="A137" s="8">
        <v>20190709</v>
      </c>
      <c r="B137" s="9">
        <v>113.23</v>
      </c>
      <c r="C137" s="9">
        <v>53.1</v>
      </c>
      <c r="D137" s="54">
        <f t="shared" si="4"/>
        <v>2.132391713747646</v>
      </c>
      <c r="Q137" s="52"/>
      <c r="R137" s="52"/>
    </row>
    <row r="138" spans="1:18" x14ac:dyDescent="0.3">
      <c r="A138" s="8">
        <v>20190710</v>
      </c>
      <c r="B138" s="9">
        <v>113.29</v>
      </c>
      <c r="C138" s="9">
        <v>53.12</v>
      </c>
      <c r="D138" s="54">
        <f t="shared" si="4"/>
        <v>2.1327183734939763</v>
      </c>
      <c r="Q138" s="52"/>
      <c r="R138" s="52"/>
    </row>
    <row r="139" spans="1:18" x14ac:dyDescent="0.3">
      <c r="A139" s="8">
        <v>20190711</v>
      </c>
      <c r="B139" s="9">
        <v>113.14</v>
      </c>
      <c r="C139" s="9">
        <v>53.02</v>
      </c>
      <c r="D139" s="54">
        <f t="shared" si="4"/>
        <v>2.1339117314221046</v>
      </c>
      <c r="Q139" s="52"/>
      <c r="R139" s="52"/>
    </row>
    <row r="140" spans="1:18" x14ac:dyDescent="0.3">
      <c r="A140" s="8">
        <v>20190712</v>
      </c>
      <c r="B140" s="9">
        <v>113.32</v>
      </c>
      <c r="C140" s="9">
        <v>53.14</v>
      </c>
      <c r="D140" s="54">
        <f t="shared" si="4"/>
        <v>2.1324802408731651</v>
      </c>
      <c r="Q140" s="52"/>
      <c r="R140" s="52"/>
    </row>
    <row r="141" spans="1:18" x14ac:dyDescent="0.3">
      <c r="A141" s="8">
        <v>20190715</v>
      </c>
      <c r="B141" s="9">
        <v>113.29</v>
      </c>
      <c r="C141" s="9">
        <v>53.15</v>
      </c>
      <c r="D141" s="54">
        <f t="shared" ref="D141:D204" si="5">B141/C141</f>
        <v>2.1315145813734713</v>
      </c>
      <c r="Q141" s="52"/>
      <c r="R141" s="52"/>
    </row>
    <row r="142" spans="1:18" x14ac:dyDescent="0.3">
      <c r="A142" s="8">
        <v>20190716</v>
      </c>
      <c r="B142" s="9">
        <v>113.21</v>
      </c>
      <c r="C142" s="9">
        <v>53.14</v>
      </c>
      <c r="D142" s="54">
        <f t="shared" si="5"/>
        <v>2.1304102371095217</v>
      </c>
      <c r="Q142" s="52"/>
      <c r="R142" s="52"/>
    </row>
    <row r="143" spans="1:18" x14ac:dyDescent="0.3">
      <c r="A143" s="8">
        <v>20190717</v>
      </c>
      <c r="B143" s="9">
        <v>113.41</v>
      </c>
      <c r="C143" s="9">
        <v>53.18</v>
      </c>
      <c r="D143" s="54">
        <f t="shared" si="5"/>
        <v>2.1325686348251223</v>
      </c>
      <c r="Q143" s="52"/>
      <c r="R143" s="52"/>
    </row>
    <row r="144" spans="1:18" x14ac:dyDescent="0.3">
      <c r="A144" s="8">
        <v>20190718</v>
      </c>
      <c r="B144" s="9">
        <v>113.49</v>
      </c>
      <c r="C144" s="9">
        <v>53.25</v>
      </c>
      <c r="D144" s="54">
        <f t="shared" si="5"/>
        <v>2.1312676056338029</v>
      </c>
      <c r="Q144" s="52"/>
      <c r="R144" s="52"/>
    </row>
    <row r="145" spans="1:18" x14ac:dyDescent="0.3">
      <c r="A145" s="8">
        <v>20190719</v>
      </c>
      <c r="B145" s="9">
        <v>113.44</v>
      </c>
      <c r="C145" s="9">
        <v>53.22</v>
      </c>
      <c r="D145" s="54">
        <f t="shared" si="5"/>
        <v>2.1315295001878991</v>
      </c>
      <c r="Q145" s="52"/>
      <c r="R145" s="52"/>
    </row>
    <row r="146" spans="1:18" x14ac:dyDescent="0.3">
      <c r="A146" s="8">
        <v>20190722</v>
      </c>
      <c r="B146" s="9">
        <v>113.44</v>
      </c>
      <c r="C146" s="9">
        <v>53.22</v>
      </c>
      <c r="D146" s="54">
        <f t="shared" si="5"/>
        <v>2.1315295001878991</v>
      </c>
      <c r="Q146" s="52"/>
      <c r="R146" s="52"/>
    </row>
    <row r="147" spans="1:18" x14ac:dyDescent="0.3">
      <c r="A147" s="8">
        <v>20190723</v>
      </c>
      <c r="B147" s="9">
        <v>113.38</v>
      </c>
      <c r="C147" s="9">
        <v>53.23</v>
      </c>
      <c r="D147" s="54">
        <f t="shared" si="5"/>
        <v>2.1300018786398649</v>
      </c>
      <c r="Q147" s="52"/>
      <c r="R147" s="52"/>
    </row>
    <row r="148" spans="1:18" x14ac:dyDescent="0.3">
      <c r="A148" s="8">
        <v>20190724</v>
      </c>
      <c r="B148" s="9">
        <v>113.49</v>
      </c>
      <c r="C148" s="9">
        <v>53.29</v>
      </c>
      <c r="D148" s="54">
        <f t="shared" si="5"/>
        <v>2.1296678551322947</v>
      </c>
      <c r="Q148" s="52"/>
      <c r="R148" s="52"/>
    </row>
    <row r="149" spans="1:18" x14ac:dyDescent="0.3">
      <c r="A149" s="8">
        <v>20190725</v>
      </c>
      <c r="B149" s="9">
        <v>113.55</v>
      </c>
      <c r="C149" s="9">
        <v>53.31</v>
      </c>
      <c r="D149" s="54">
        <f t="shared" si="5"/>
        <v>2.1299943725379853</v>
      </c>
      <c r="Q149" s="52"/>
      <c r="R149" s="52"/>
    </row>
    <row r="150" spans="1:18" x14ac:dyDescent="0.3">
      <c r="A150" s="8">
        <v>20190726</v>
      </c>
      <c r="B150" s="9">
        <v>113.54</v>
      </c>
      <c r="C150" s="9">
        <v>53.33</v>
      </c>
      <c r="D150" s="54">
        <f t="shared" si="5"/>
        <v>2.1290080630039379</v>
      </c>
      <c r="Q150" s="52"/>
      <c r="R150" s="52"/>
    </row>
    <row r="151" spans="1:18" x14ac:dyDescent="0.3">
      <c r="A151" s="8">
        <v>20190729</v>
      </c>
      <c r="B151" s="9">
        <v>113.53</v>
      </c>
      <c r="C151" s="9">
        <v>53.32</v>
      </c>
      <c r="D151" s="54">
        <f t="shared" si="5"/>
        <v>2.1292198049512376</v>
      </c>
      <c r="Q151" s="52"/>
      <c r="R151" s="52"/>
    </row>
    <row r="152" spans="1:18" x14ac:dyDescent="0.3">
      <c r="A152" s="8">
        <v>20190730</v>
      </c>
      <c r="B152" s="9">
        <v>113.69</v>
      </c>
      <c r="C152" s="9">
        <v>53.36</v>
      </c>
      <c r="D152" s="54">
        <f t="shared" si="5"/>
        <v>2.130622188905547</v>
      </c>
      <c r="Q152" s="52"/>
      <c r="R152" s="52"/>
    </row>
    <row r="153" spans="1:18" x14ac:dyDescent="0.3">
      <c r="A153" s="8">
        <v>20190731</v>
      </c>
      <c r="B153" s="9">
        <v>113.69</v>
      </c>
      <c r="C153" s="9">
        <v>53.42</v>
      </c>
      <c r="D153" s="54">
        <f t="shared" si="5"/>
        <v>2.1282291276675402</v>
      </c>
      <c r="Q153" s="52"/>
      <c r="R153" s="52"/>
    </row>
    <row r="154" spans="1:18" x14ac:dyDescent="0.3">
      <c r="A154" s="8">
        <v>20190801</v>
      </c>
      <c r="B154" s="9">
        <v>113.77</v>
      </c>
      <c r="C154" s="9">
        <v>53.41</v>
      </c>
      <c r="D154" s="54">
        <f t="shared" si="5"/>
        <v>2.1301254446732822</v>
      </c>
      <c r="Q154" s="52"/>
      <c r="R154" s="52"/>
    </row>
    <row r="155" spans="1:18" x14ac:dyDescent="0.3">
      <c r="A155" s="8">
        <v>20190802</v>
      </c>
      <c r="B155" s="9">
        <v>113.89</v>
      </c>
      <c r="C155" s="9">
        <v>53.48</v>
      </c>
      <c r="D155" s="54">
        <f t="shared" si="5"/>
        <v>2.1295811518324608</v>
      </c>
      <c r="Q155" s="52"/>
      <c r="R155" s="52"/>
    </row>
    <row r="156" spans="1:18" x14ac:dyDescent="0.3">
      <c r="A156" s="8">
        <v>20190805</v>
      </c>
      <c r="B156" s="9">
        <v>114.2</v>
      </c>
      <c r="C156" s="9">
        <v>53.63</v>
      </c>
      <c r="D156" s="54">
        <f t="shared" si="5"/>
        <v>2.1294051836658587</v>
      </c>
      <c r="Q156" s="52"/>
      <c r="R156" s="52"/>
    </row>
    <row r="157" spans="1:18" x14ac:dyDescent="0.3">
      <c r="A157" s="8">
        <v>20190806</v>
      </c>
      <c r="B157" s="9">
        <v>114.27</v>
      </c>
      <c r="C157" s="9">
        <v>53.69</v>
      </c>
      <c r="D157" s="54">
        <f t="shared" si="5"/>
        <v>2.1283292978208235</v>
      </c>
      <c r="Q157" s="52"/>
      <c r="R157" s="52"/>
    </row>
    <row r="158" spans="1:18" x14ac:dyDescent="0.3">
      <c r="A158" s="8">
        <v>20190807</v>
      </c>
      <c r="B158" s="9">
        <v>114.56</v>
      </c>
      <c r="C158" s="9">
        <v>53.74</v>
      </c>
      <c r="D158" s="54">
        <f t="shared" si="5"/>
        <v>2.1317454410122814</v>
      </c>
      <c r="Q158" s="52"/>
      <c r="R158" s="52"/>
    </row>
    <row r="159" spans="1:18" x14ac:dyDescent="0.3">
      <c r="A159" s="8">
        <v>20190808</v>
      </c>
      <c r="B159" s="9">
        <v>114.62</v>
      </c>
      <c r="C159" s="9">
        <v>53.84</v>
      </c>
      <c r="D159" s="54">
        <f t="shared" si="5"/>
        <v>2.1289004457652303</v>
      </c>
      <c r="Q159" s="52"/>
      <c r="R159" s="52"/>
    </row>
    <row r="160" spans="1:18" x14ac:dyDescent="0.3">
      <c r="A160" s="8">
        <v>20190809</v>
      </c>
      <c r="B160" s="9">
        <v>114.57</v>
      </c>
      <c r="C160" s="9">
        <v>53.81</v>
      </c>
      <c r="D160" s="54">
        <f t="shared" si="5"/>
        <v>2.1291581490429285</v>
      </c>
      <c r="Q160" s="52"/>
      <c r="R160" s="52"/>
    </row>
    <row r="161" spans="1:18" x14ac:dyDescent="0.3">
      <c r="A161" s="8">
        <v>20190812</v>
      </c>
      <c r="B161" s="9">
        <v>114.95</v>
      </c>
      <c r="C161" s="9">
        <v>53.96</v>
      </c>
      <c r="D161" s="54">
        <f t="shared" si="5"/>
        <v>2.130281690140845</v>
      </c>
      <c r="Q161" s="52"/>
      <c r="R161" s="52"/>
    </row>
    <row r="162" spans="1:18" x14ac:dyDescent="0.3">
      <c r="A162" s="8">
        <v>20190813</v>
      </c>
      <c r="B162" s="9">
        <v>114.78</v>
      </c>
      <c r="C162" s="9">
        <v>53.89</v>
      </c>
      <c r="D162" s="54">
        <f t="shared" si="5"/>
        <v>2.1298942289849694</v>
      </c>
      <c r="Q162" s="52"/>
      <c r="R162" s="52"/>
    </row>
    <row r="163" spans="1:18" x14ac:dyDescent="0.3">
      <c r="A163" s="8">
        <v>20190814</v>
      </c>
      <c r="B163" s="9">
        <v>115.15</v>
      </c>
      <c r="C163" s="9">
        <v>54.04</v>
      </c>
      <c r="D163" s="54">
        <f t="shared" si="5"/>
        <v>2.1308290155440415</v>
      </c>
      <c r="Q163" s="52"/>
      <c r="R163" s="52"/>
    </row>
    <row r="164" spans="1:18" x14ac:dyDescent="0.3">
      <c r="A164" s="8">
        <v>20190815</v>
      </c>
      <c r="B164" s="9">
        <v>115.35</v>
      </c>
      <c r="C164" s="9">
        <v>54.17</v>
      </c>
      <c r="D164" s="54">
        <f t="shared" si="5"/>
        <v>2.1294074210817793</v>
      </c>
      <c r="Q164" s="52"/>
      <c r="R164" s="52"/>
    </row>
    <row r="165" spans="1:18" x14ac:dyDescent="0.3">
      <c r="A165" s="8">
        <v>20190816</v>
      </c>
      <c r="B165" s="9">
        <v>115.3</v>
      </c>
      <c r="C165" s="9">
        <v>54.11</v>
      </c>
      <c r="D165" s="54">
        <f t="shared" si="5"/>
        <v>2.1308445758639807</v>
      </c>
      <c r="Q165" s="52"/>
      <c r="R165" s="52"/>
    </row>
    <row r="166" spans="1:18" x14ac:dyDescent="0.3">
      <c r="A166" s="8">
        <v>20190819</v>
      </c>
      <c r="B166" s="9">
        <v>115.13</v>
      </c>
      <c r="C166" s="9">
        <v>54.03</v>
      </c>
      <c r="D166" s="54">
        <f t="shared" si="5"/>
        <v>2.1308532296872107</v>
      </c>
      <c r="Q166" s="52"/>
      <c r="R166" s="52"/>
    </row>
    <row r="167" spans="1:18" x14ac:dyDescent="0.3">
      <c r="A167" s="8">
        <v>20190820</v>
      </c>
      <c r="B167" s="9">
        <v>115.24</v>
      </c>
      <c r="C167" s="9">
        <v>54.07</v>
      </c>
      <c r="D167" s="54">
        <f t="shared" si="5"/>
        <v>2.1313112631773627</v>
      </c>
      <c r="Q167" s="52"/>
      <c r="R167" s="52"/>
    </row>
    <row r="168" spans="1:18" x14ac:dyDescent="0.3">
      <c r="A168" s="8">
        <v>20190821</v>
      </c>
      <c r="B168" s="9">
        <v>115.09</v>
      </c>
      <c r="C168" s="9">
        <v>54.02</v>
      </c>
      <c r="D168" s="54">
        <f t="shared" si="5"/>
        <v>2.1305072195483152</v>
      </c>
      <c r="Q168" s="52"/>
      <c r="R168" s="52"/>
    </row>
    <row r="169" spans="1:18" x14ac:dyDescent="0.3">
      <c r="A169" s="8">
        <v>20190822</v>
      </c>
      <c r="B169" s="9">
        <v>115</v>
      </c>
      <c r="C169" s="9">
        <v>53.99</v>
      </c>
      <c r="D169" s="54">
        <f t="shared" si="5"/>
        <v>2.1300240785330615</v>
      </c>
      <c r="Q169" s="52"/>
      <c r="R169" s="52"/>
    </row>
    <row r="170" spans="1:18" x14ac:dyDescent="0.3">
      <c r="A170" s="8">
        <v>20190823</v>
      </c>
      <c r="B170" s="9">
        <v>115.15</v>
      </c>
      <c r="C170" s="9">
        <v>54.1</v>
      </c>
      <c r="D170" s="54">
        <f t="shared" si="5"/>
        <v>2.1284658040665434</v>
      </c>
      <c r="Q170" s="52"/>
      <c r="R170" s="52"/>
    </row>
    <row r="171" spans="1:18" x14ac:dyDescent="0.3">
      <c r="A171" s="8">
        <v>20190826</v>
      </c>
      <c r="B171" s="9">
        <v>115.07</v>
      </c>
      <c r="C171" s="9">
        <v>54.02</v>
      </c>
      <c r="D171" s="54">
        <f t="shared" si="5"/>
        <v>2.1301369863013697</v>
      </c>
      <c r="Q171" s="52"/>
      <c r="R171" s="52"/>
    </row>
    <row r="172" spans="1:18" x14ac:dyDescent="0.3">
      <c r="A172" s="8">
        <v>20190827</v>
      </c>
      <c r="B172" s="9">
        <v>115.22</v>
      </c>
      <c r="C172" s="9">
        <v>54.07</v>
      </c>
      <c r="D172" s="54">
        <f t="shared" si="5"/>
        <v>2.1309413722951729</v>
      </c>
      <c r="Q172" s="52"/>
      <c r="R172" s="52"/>
    </row>
    <row r="173" spans="1:18" x14ac:dyDescent="0.3">
      <c r="A173" s="8">
        <v>20190828</v>
      </c>
      <c r="B173" s="9">
        <v>115.33</v>
      </c>
      <c r="C173" s="9">
        <v>54.11</v>
      </c>
      <c r="D173" s="54">
        <f t="shared" si="5"/>
        <v>2.1313990020328961</v>
      </c>
      <c r="Q173" s="52"/>
      <c r="R173" s="52"/>
    </row>
    <row r="174" spans="1:18" x14ac:dyDescent="0.3">
      <c r="A174" s="8">
        <v>20190829</v>
      </c>
      <c r="B174" s="9">
        <v>115.21</v>
      </c>
      <c r="C174" s="9">
        <v>54.12</v>
      </c>
      <c r="D174" s="54">
        <f t="shared" si="5"/>
        <v>2.1287878787878789</v>
      </c>
      <c r="Q174" s="52"/>
      <c r="R174" s="52"/>
    </row>
    <row r="175" spans="1:18" x14ac:dyDescent="0.3">
      <c r="A175" s="8">
        <v>20190830</v>
      </c>
      <c r="B175" s="9">
        <v>115.2</v>
      </c>
      <c r="C175" s="9">
        <v>54.13</v>
      </c>
      <c r="D175" s="54">
        <f t="shared" si="5"/>
        <v>2.1282098651394792</v>
      </c>
      <c r="Q175" s="52"/>
      <c r="R175" s="52"/>
    </row>
    <row r="176" spans="1:18" x14ac:dyDescent="0.3">
      <c r="A176" s="8">
        <v>20190903</v>
      </c>
      <c r="B176" s="9">
        <v>115.02</v>
      </c>
      <c r="C176" s="9">
        <v>54.04</v>
      </c>
      <c r="D176" s="54">
        <f t="shared" si="5"/>
        <v>2.1284233900814211</v>
      </c>
      <c r="Q176" s="52"/>
      <c r="R176" s="52"/>
    </row>
    <row r="177" spans="1:18" x14ac:dyDescent="0.3">
      <c r="A177" s="8">
        <v>20190904</v>
      </c>
      <c r="B177" s="9">
        <v>115.02</v>
      </c>
      <c r="C177" s="9">
        <v>54.04</v>
      </c>
      <c r="D177" s="54">
        <f t="shared" si="5"/>
        <v>2.1284233900814211</v>
      </c>
      <c r="Q177" s="52"/>
      <c r="R177" s="52"/>
    </row>
    <row r="178" spans="1:18" x14ac:dyDescent="0.3">
      <c r="A178" s="8">
        <v>20190905</v>
      </c>
      <c r="B178" s="9">
        <v>114.73</v>
      </c>
      <c r="C178" s="9">
        <v>53.9</v>
      </c>
      <c r="D178" s="54">
        <f t="shared" si="5"/>
        <v>2.1285714285714286</v>
      </c>
      <c r="Q178" s="52"/>
      <c r="R178" s="52"/>
    </row>
    <row r="179" spans="1:18" x14ac:dyDescent="0.3">
      <c r="A179" s="8">
        <v>20190906</v>
      </c>
      <c r="B179" s="9">
        <v>114.73</v>
      </c>
      <c r="C179" s="9">
        <v>53.87</v>
      </c>
      <c r="D179" s="54">
        <f t="shared" si="5"/>
        <v>2.1297568219788383</v>
      </c>
      <c r="Q179" s="52"/>
      <c r="R179" s="52"/>
    </row>
    <row r="180" spans="1:18" x14ac:dyDescent="0.3">
      <c r="A180" s="8">
        <v>20190909</v>
      </c>
      <c r="B180" s="9">
        <v>114.41</v>
      </c>
      <c r="C180" s="9">
        <v>53.72</v>
      </c>
      <c r="D180" s="54">
        <f t="shared" si="5"/>
        <v>2.1297468354430378</v>
      </c>
      <c r="Q180" s="52"/>
      <c r="R180" s="52"/>
    </row>
    <row r="181" spans="1:18" x14ac:dyDescent="0.3">
      <c r="A181" s="8">
        <v>20190910</v>
      </c>
      <c r="B181" s="9">
        <v>114.18</v>
      </c>
      <c r="C181" s="9">
        <v>53.67</v>
      </c>
      <c r="D181" s="54">
        <f t="shared" si="5"/>
        <v>2.1274455002794856</v>
      </c>
      <c r="Q181" s="52"/>
      <c r="R181" s="52"/>
    </row>
    <row r="182" spans="1:18" x14ac:dyDescent="0.3">
      <c r="A182" s="8">
        <v>20190911</v>
      </c>
      <c r="B182" s="9">
        <v>113.85</v>
      </c>
      <c r="C182" s="9">
        <v>53.51</v>
      </c>
      <c r="D182" s="54">
        <f t="shared" si="5"/>
        <v>2.1276396935152309</v>
      </c>
      <c r="Q182" s="52"/>
      <c r="R182" s="52"/>
    </row>
    <row r="183" spans="1:18" x14ac:dyDescent="0.3">
      <c r="A183" s="8">
        <v>20190912</v>
      </c>
      <c r="B183" s="9">
        <v>113.79</v>
      </c>
      <c r="C183" s="9">
        <v>53.48</v>
      </c>
      <c r="D183" s="54">
        <f t="shared" si="5"/>
        <v>2.1277112939416605</v>
      </c>
      <c r="Q183" s="52"/>
      <c r="R183" s="52"/>
    </row>
    <row r="184" spans="1:18" x14ac:dyDescent="0.3">
      <c r="A184" s="8">
        <v>20190913</v>
      </c>
      <c r="B184" s="9">
        <v>113.37</v>
      </c>
      <c r="C184" s="9">
        <v>53.27</v>
      </c>
      <c r="D184" s="54">
        <f t="shared" si="5"/>
        <v>2.1282147550215882</v>
      </c>
      <c r="Q184" s="52"/>
      <c r="R184" s="52"/>
    </row>
    <row r="185" spans="1:18" x14ac:dyDescent="0.3">
      <c r="A185" s="8">
        <v>20190916</v>
      </c>
      <c r="B185" s="9">
        <v>113.19</v>
      </c>
      <c r="C185" s="9">
        <v>53.24</v>
      </c>
      <c r="D185" s="54">
        <f t="shared" si="5"/>
        <v>2.1260330578512394</v>
      </c>
      <c r="Q185" s="52"/>
      <c r="R185" s="52"/>
    </row>
    <row r="186" spans="1:18" x14ac:dyDescent="0.3">
      <c r="A186" s="8">
        <v>20190917</v>
      </c>
      <c r="B186" s="9">
        <v>113.32</v>
      </c>
      <c r="C186" s="9">
        <v>53.22</v>
      </c>
      <c r="D186" s="54">
        <f t="shared" si="5"/>
        <v>2.1292747087561068</v>
      </c>
      <c r="Q186" s="52"/>
      <c r="R186" s="52"/>
    </row>
    <row r="187" spans="1:18" x14ac:dyDescent="0.3">
      <c r="A187" s="8">
        <v>20190918</v>
      </c>
      <c r="B187" s="9">
        <v>113.51</v>
      </c>
      <c r="C187" s="9">
        <v>53.34</v>
      </c>
      <c r="D187" s="54">
        <f t="shared" si="5"/>
        <v>2.1280464941882262</v>
      </c>
      <c r="Q187" s="52"/>
      <c r="R187" s="52"/>
    </row>
    <row r="188" spans="1:18" x14ac:dyDescent="0.3">
      <c r="A188" s="8">
        <v>20190919</v>
      </c>
      <c r="B188" s="9">
        <v>113.79</v>
      </c>
      <c r="C188" s="9">
        <v>53.42</v>
      </c>
      <c r="D188" s="54">
        <f t="shared" si="5"/>
        <v>2.1301010857356797</v>
      </c>
      <c r="Q188" s="52"/>
      <c r="R188" s="52"/>
    </row>
    <row r="189" spans="1:18" x14ac:dyDescent="0.3">
      <c r="A189" s="8">
        <v>20190920</v>
      </c>
      <c r="B189" s="9">
        <v>113.99</v>
      </c>
      <c r="C189" s="9">
        <v>53.54</v>
      </c>
      <c r="D189" s="54">
        <f t="shared" si="5"/>
        <v>2.1290623832648485</v>
      </c>
      <c r="Q189" s="52"/>
      <c r="R189" s="52"/>
    </row>
    <row r="190" spans="1:18" x14ac:dyDescent="0.3">
      <c r="A190" s="8">
        <v>20190923</v>
      </c>
      <c r="B190" s="9">
        <v>114.1</v>
      </c>
      <c r="C190" s="9">
        <v>53.59</v>
      </c>
      <c r="D190" s="54">
        <f t="shared" si="5"/>
        <v>2.1291285687628285</v>
      </c>
      <c r="Q190" s="52"/>
      <c r="R190" s="52"/>
    </row>
    <row r="191" spans="1:18" x14ac:dyDescent="0.3">
      <c r="A191" s="8">
        <v>20190924</v>
      </c>
      <c r="B191" s="9">
        <v>114.31</v>
      </c>
      <c r="C191" s="9">
        <v>53.67</v>
      </c>
      <c r="D191" s="54">
        <f t="shared" si="5"/>
        <v>2.1298677100801191</v>
      </c>
      <c r="Q191" s="52"/>
      <c r="R191" s="52"/>
    </row>
    <row r="192" spans="1:18" x14ac:dyDescent="0.3">
      <c r="A192" s="8">
        <v>20190925</v>
      </c>
      <c r="B192" s="9">
        <v>114.06</v>
      </c>
      <c r="C192" s="9">
        <v>53.58</v>
      </c>
      <c r="D192" s="54">
        <f t="shared" si="5"/>
        <v>2.1287793952967524</v>
      </c>
      <c r="Q192" s="52"/>
      <c r="R192" s="52"/>
    </row>
    <row r="193" spans="1:18" x14ac:dyDescent="0.3">
      <c r="A193" s="8">
        <v>20190926</v>
      </c>
      <c r="B193" s="9">
        <v>114.05</v>
      </c>
      <c r="C193" s="9">
        <v>53.59</v>
      </c>
      <c r="D193" s="54">
        <f t="shared" si="5"/>
        <v>2.1281955588729238</v>
      </c>
      <c r="Q193" s="52"/>
      <c r="R193" s="52"/>
    </row>
    <row r="194" spans="1:18" x14ac:dyDescent="0.3">
      <c r="A194" s="8">
        <v>20190927</v>
      </c>
      <c r="B194" s="9">
        <v>114.1</v>
      </c>
      <c r="C194" s="9">
        <v>53.59</v>
      </c>
      <c r="D194" s="54">
        <f t="shared" si="5"/>
        <v>2.1291285687628285</v>
      </c>
      <c r="Q194" s="52"/>
      <c r="R194" s="52"/>
    </row>
    <row r="195" spans="1:18" x14ac:dyDescent="0.3">
      <c r="A195" s="8">
        <v>20190930</v>
      </c>
      <c r="B195" s="9">
        <v>114.1</v>
      </c>
      <c r="C195" s="9">
        <v>53.62</v>
      </c>
      <c r="D195" s="54">
        <f t="shared" si="5"/>
        <v>2.1279373368146213</v>
      </c>
      <c r="Q195" s="52"/>
      <c r="R195" s="52"/>
    </row>
    <row r="196" spans="1:18" x14ac:dyDescent="0.3">
      <c r="A196" s="8">
        <v>20191001</v>
      </c>
      <c r="B196" s="9">
        <v>113.93</v>
      </c>
      <c r="C196" s="9">
        <v>53.53</v>
      </c>
      <c r="D196" s="54">
        <f t="shared" si="5"/>
        <v>2.1283392490192417</v>
      </c>
      <c r="Q196" s="52"/>
      <c r="R196" s="52"/>
    </row>
    <row r="197" spans="1:18" x14ac:dyDescent="0.3">
      <c r="A197" s="8">
        <v>20191002</v>
      </c>
      <c r="B197" s="9">
        <v>114.13</v>
      </c>
      <c r="C197" s="9">
        <v>53.6</v>
      </c>
      <c r="D197" s="54">
        <f t="shared" si="5"/>
        <v>2.1292910447761191</v>
      </c>
      <c r="Q197" s="52"/>
      <c r="R197" s="52"/>
    </row>
    <row r="198" spans="1:18" x14ac:dyDescent="0.3">
      <c r="A198" s="8">
        <v>20191003</v>
      </c>
      <c r="B198" s="9">
        <v>114.37</v>
      </c>
      <c r="C198" s="9">
        <v>53.75</v>
      </c>
      <c r="D198" s="54">
        <f t="shared" si="5"/>
        <v>2.127813953488372</v>
      </c>
      <c r="Q198" s="52"/>
      <c r="R198" s="52"/>
    </row>
    <row r="199" spans="1:18" x14ac:dyDescent="0.3">
      <c r="A199" s="8">
        <v>20191004</v>
      </c>
      <c r="B199" s="9">
        <v>114.37</v>
      </c>
      <c r="C199" s="9">
        <v>53.76</v>
      </c>
      <c r="D199" s="54">
        <f t="shared" si="5"/>
        <v>2.1274181547619051</v>
      </c>
      <c r="Q199" s="52"/>
      <c r="R199" s="52"/>
    </row>
    <row r="200" spans="1:18" x14ac:dyDescent="0.3">
      <c r="A200" s="8">
        <v>20191007</v>
      </c>
      <c r="B200" s="9">
        <v>114.28</v>
      </c>
      <c r="C200" s="9">
        <v>53.71</v>
      </c>
      <c r="D200" s="54">
        <f t="shared" si="5"/>
        <v>2.1277229566188791</v>
      </c>
      <c r="Q200" s="52"/>
      <c r="R200" s="52"/>
    </row>
    <row r="201" spans="1:18" x14ac:dyDescent="0.3">
      <c r="A201" s="8">
        <v>20191008</v>
      </c>
      <c r="B201" s="9">
        <v>114.61</v>
      </c>
      <c r="C201" s="9">
        <v>53.86</v>
      </c>
      <c r="D201" s="54">
        <f t="shared" si="5"/>
        <v>2.1279242480505012</v>
      </c>
      <c r="Q201" s="52"/>
      <c r="R201" s="52"/>
    </row>
    <row r="202" spans="1:18" x14ac:dyDescent="0.3">
      <c r="A202" s="8">
        <v>20191009</v>
      </c>
      <c r="B202" s="9">
        <v>114.58</v>
      </c>
      <c r="C202" s="9">
        <v>53.83</v>
      </c>
      <c r="D202" s="54">
        <f t="shared" si="5"/>
        <v>2.1285528515697565</v>
      </c>
      <c r="Q202" s="52"/>
      <c r="R202" s="52"/>
    </row>
    <row r="203" spans="1:18" x14ac:dyDescent="0.3">
      <c r="A203" s="8">
        <v>20191010</v>
      </c>
      <c r="B203" s="9">
        <v>114.38</v>
      </c>
      <c r="C203" s="9">
        <v>53.79</v>
      </c>
      <c r="D203" s="54">
        <f t="shared" si="5"/>
        <v>2.1264175497304332</v>
      </c>
      <c r="Q203" s="52"/>
      <c r="R203" s="52"/>
    </row>
    <row r="204" spans="1:18" x14ac:dyDescent="0.3">
      <c r="A204" s="8">
        <v>20191011</v>
      </c>
      <c r="B204" s="9">
        <v>114.06</v>
      </c>
      <c r="C204" s="9">
        <v>53.67</v>
      </c>
      <c r="D204" s="54">
        <f t="shared" si="5"/>
        <v>2.1252096143096701</v>
      </c>
      <c r="Q204" s="52"/>
      <c r="R204" s="52"/>
    </row>
    <row r="205" spans="1:18" x14ac:dyDescent="0.3">
      <c r="A205" s="8">
        <v>20191014</v>
      </c>
      <c r="B205" s="9">
        <v>114.26</v>
      </c>
      <c r="C205" s="9">
        <v>53.73</v>
      </c>
      <c r="D205" s="54">
        <f t="shared" ref="D205:D259" si="6">B205/C205</f>
        <v>2.126558719523544</v>
      </c>
      <c r="Q205" s="52"/>
      <c r="R205" s="52"/>
    </row>
    <row r="206" spans="1:18" x14ac:dyDescent="0.3">
      <c r="A206" s="8">
        <v>20191015</v>
      </c>
      <c r="B206" s="9">
        <v>114.18</v>
      </c>
      <c r="C206" s="9">
        <v>53.6</v>
      </c>
      <c r="D206" s="54">
        <f t="shared" si="6"/>
        <v>2.1302238805970148</v>
      </c>
      <c r="Q206" s="52"/>
      <c r="R206" s="52"/>
    </row>
    <row r="207" spans="1:18" x14ac:dyDescent="0.3">
      <c r="A207" s="8">
        <v>20191016</v>
      </c>
      <c r="B207" s="9">
        <v>114.18</v>
      </c>
      <c r="C207" s="9">
        <v>53.62</v>
      </c>
      <c r="D207" s="54">
        <f t="shared" si="6"/>
        <v>2.1294293174188739</v>
      </c>
      <c r="Q207" s="52"/>
      <c r="R207" s="52"/>
    </row>
    <row r="208" spans="1:18" x14ac:dyDescent="0.3">
      <c r="A208" s="8">
        <v>20191017</v>
      </c>
      <c r="B208" s="9">
        <v>113.95</v>
      </c>
      <c r="C208" s="9">
        <v>53.54</v>
      </c>
      <c r="D208" s="54">
        <f t="shared" si="6"/>
        <v>2.1283152782966006</v>
      </c>
      <c r="Q208" s="52"/>
      <c r="R208" s="52"/>
    </row>
    <row r="209" spans="1:18" x14ac:dyDescent="0.3">
      <c r="A209" s="8">
        <v>20191018</v>
      </c>
      <c r="B209" s="9">
        <v>113.99</v>
      </c>
      <c r="C209" s="9">
        <v>53.51</v>
      </c>
      <c r="D209" s="54">
        <f t="shared" si="6"/>
        <v>2.1302560269108577</v>
      </c>
      <c r="Q209" s="52"/>
      <c r="R209" s="52"/>
    </row>
    <row r="210" spans="1:18" x14ac:dyDescent="0.3">
      <c r="A210" s="8">
        <v>20191021</v>
      </c>
      <c r="B210" s="9">
        <v>113.71</v>
      </c>
      <c r="C210" s="9">
        <v>53.48</v>
      </c>
      <c r="D210" s="54">
        <f t="shared" si="6"/>
        <v>2.1262154076290201</v>
      </c>
      <c r="Q210" s="52"/>
      <c r="R210" s="52"/>
    </row>
    <row r="211" spans="1:18" x14ac:dyDescent="0.3">
      <c r="A211" s="8">
        <v>20191022</v>
      </c>
      <c r="B211" s="9">
        <v>113.78</v>
      </c>
      <c r="C211" s="9">
        <v>53.42</v>
      </c>
      <c r="D211" s="54">
        <f t="shared" si="6"/>
        <v>2.1299138899288654</v>
      </c>
      <c r="Q211" s="52"/>
      <c r="R211" s="52"/>
    </row>
    <row r="212" spans="1:18" x14ac:dyDescent="0.3">
      <c r="A212" s="8">
        <v>20191023</v>
      </c>
      <c r="B212" s="9">
        <v>113.73</v>
      </c>
      <c r="C212" s="9">
        <v>53.44</v>
      </c>
      <c r="D212" s="54">
        <f t="shared" si="6"/>
        <v>2.128181137724551</v>
      </c>
      <c r="Q212" s="52"/>
      <c r="R212" s="52"/>
    </row>
    <row r="213" spans="1:18" x14ac:dyDescent="0.3">
      <c r="A213" s="8">
        <v>20191024</v>
      </c>
      <c r="B213" s="9">
        <v>113.8</v>
      </c>
      <c r="C213" s="9">
        <v>53.44</v>
      </c>
      <c r="D213" s="54">
        <f t="shared" si="6"/>
        <v>2.1294910179640718</v>
      </c>
      <c r="Q213" s="52"/>
      <c r="R213" s="52"/>
    </row>
    <row r="214" spans="1:18" x14ac:dyDescent="0.3">
      <c r="A214" s="8">
        <v>20191025</v>
      </c>
      <c r="B214" s="9">
        <v>113.79</v>
      </c>
      <c r="C214" s="9">
        <v>53.45</v>
      </c>
      <c r="D214" s="54">
        <f t="shared" si="6"/>
        <v>2.1289055191768007</v>
      </c>
      <c r="Q214" s="52"/>
      <c r="R214" s="52"/>
    </row>
    <row r="215" spans="1:18" x14ac:dyDescent="0.3">
      <c r="A215" s="8">
        <v>20191028</v>
      </c>
      <c r="B215" s="9">
        <v>113.73</v>
      </c>
      <c r="C215" s="9">
        <v>53.42</v>
      </c>
      <c r="D215" s="54">
        <f t="shared" si="6"/>
        <v>2.1289779108947959</v>
      </c>
      <c r="Q215" s="52"/>
      <c r="R215" s="52"/>
    </row>
    <row r="216" spans="1:18" x14ac:dyDescent="0.3">
      <c r="A216" s="8">
        <v>20191029</v>
      </c>
      <c r="B216" s="9">
        <v>113.68</v>
      </c>
      <c r="C216" s="9">
        <v>53.41</v>
      </c>
      <c r="D216" s="54">
        <f t="shared" si="6"/>
        <v>2.1284403669724772</v>
      </c>
      <c r="Q216" s="52"/>
      <c r="R216" s="52"/>
    </row>
    <row r="217" spans="1:18" x14ac:dyDescent="0.3">
      <c r="A217" s="8">
        <v>20191030</v>
      </c>
      <c r="B217" s="9">
        <v>113.86</v>
      </c>
      <c r="C217" s="9">
        <v>53.49</v>
      </c>
      <c r="D217" s="54">
        <f t="shared" si="6"/>
        <v>2.1286221723686669</v>
      </c>
      <c r="Q217" s="52"/>
      <c r="R217" s="52"/>
    </row>
    <row r="218" spans="1:18" x14ac:dyDescent="0.3">
      <c r="A218" s="8">
        <v>20191031</v>
      </c>
      <c r="B218" s="9">
        <v>114.21</v>
      </c>
      <c r="C218" s="9">
        <v>53.59</v>
      </c>
      <c r="D218" s="54">
        <f t="shared" si="6"/>
        <v>2.1311811905206191</v>
      </c>
      <c r="Q218" s="52"/>
      <c r="R218" s="52"/>
    </row>
    <row r="219" spans="1:18" x14ac:dyDescent="0.3">
      <c r="A219" s="8">
        <v>20191101</v>
      </c>
      <c r="B219" s="9">
        <v>113.94</v>
      </c>
      <c r="C219" s="9">
        <v>53.51</v>
      </c>
      <c r="D219" s="54">
        <f t="shared" si="6"/>
        <v>2.1293216221267053</v>
      </c>
      <c r="Q219" s="52"/>
      <c r="R219" s="52"/>
    </row>
    <row r="220" spans="1:18" x14ac:dyDescent="0.3">
      <c r="A220" s="8">
        <v>20191104</v>
      </c>
      <c r="B220" s="9">
        <v>113.83</v>
      </c>
      <c r="C220" s="9">
        <v>53.44</v>
      </c>
      <c r="D220" s="54">
        <f t="shared" si="6"/>
        <v>2.1300523952095811</v>
      </c>
      <c r="Q220" s="52"/>
      <c r="R220" s="52"/>
    </row>
    <row r="221" spans="1:18" x14ac:dyDescent="0.3">
      <c r="A221" s="8">
        <v>20191105</v>
      </c>
      <c r="B221" s="9">
        <v>113.65</v>
      </c>
      <c r="C221" s="9">
        <v>53.39</v>
      </c>
      <c r="D221" s="54">
        <f t="shared" si="6"/>
        <v>2.1286757819816446</v>
      </c>
      <c r="Q221" s="52"/>
      <c r="R221" s="52"/>
    </row>
    <row r="222" spans="1:18" x14ac:dyDescent="0.3">
      <c r="A222" s="8">
        <v>20191106</v>
      </c>
      <c r="B222" s="9">
        <v>113.68</v>
      </c>
      <c r="C222" s="9">
        <v>53.38</v>
      </c>
      <c r="D222" s="54">
        <f t="shared" si="6"/>
        <v>2.1296365680029976</v>
      </c>
      <c r="Q222" s="52"/>
      <c r="R222" s="52"/>
    </row>
    <row r="223" spans="1:18" x14ac:dyDescent="0.3">
      <c r="A223" s="8">
        <v>20191107</v>
      </c>
      <c r="B223" s="9">
        <v>113.2</v>
      </c>
      <c r="C223" s="9">
        <v>53.22</v>
      </c>
      <c r="D223" s="54">
        <f t="shared" si="6"/>
        <v>2.1270199173243141</v>
      </c>
      <c r="Q223" s="52"/>
      <c r="R223" s="52"/>
    </row>
    <row r="224" spans="1:18" x14ac:dyDescent="0.3">
      <c r="A224" s="8">
        <v>20191108</v>
      </c>
      <c r="B224" s="9">
        <v>113.18</v>
      </c>
      <c r="C224" s="9">
        <v>53.19</v>
      </c>
      <c r="D224" s="54">
        <f t="shared" si="6"/>
        <v>2.1278435796202295</v>
      </c>
      <c r="Q224" s="52"/>
      <c r="R224" s="52"/>
    </row>
    <row r="225" spans="1:18" x14ac:dyDescent="0.3">
      <c r="A225" s="8">
        <v>20191111</v>
      </c>
      <c r="B225" s="9">
        <v>113.25</v>
      </c>
      <c r="C225" s="9">
        <v>53.22</v>
      </c>
      <c r="D225" s="54">
        <f t="shared" si="6"/>
        <v>2.1279594137542279</v>
      </c>
      <c r="Q225" s="52"/>
      <c r="R225" s="52"/>
    </row>
    <row r="226" spans="1:18" x14ac:dyDescent="0.3">
      <c r="A226" s="8">
        <v>20191112</v>
      </c>
      <c r="B226" s="9">
        <v>113.28</v>
      </c>
      <c r="C226" s="9">
        <v>53.19</v>
      </c>
      <c r="D226" s="54">
        <f t="shared" si="6"/>
        <v>2.1297236322617032</v>
      </c>
      <c r="Q226" s="52"/>
      <c r="R226" s="52"/>
    </row>
    <row r="227" spans="1:18" x14ac:dyDescent="0.3">
      <c r="A227" s="8">
        <v>20191113</v>
      </c>
      <c r="B227" s="9">
        <v>113.45</v>
      </c>
      <c r="C227" s="9">
        <v>53.29</v>
      </c>
      <c r="D227" s="54">
        <f t="shared" si="6"/>
        <v>2.1289172452617753</v>
      </c>
      <c r="Q227" s="52"/>
      <c r="R227" s="52"/>
    </row>
    <row r="228" spans="1:18" x14ac:dyDescent="0.3">
      <c r="A228" s="8">
        <v>20191114</v>
      </c>
      <c r="B228" s="9">
        <v>113.6</v>
      </c>
      <c r="C228" s="9">
        <v>53.32</v>
      </c>
      <c r="D228" s="54">
        <f t="shared" si="6"/>
        <v>2.1305326331582894</v>
      </c>
      <c r="Q228" s="52"/>
      <c r="R228" s="52"/>
    </row>
    <row r="229" spans="1:18" x14ac:dyDescent="0.3">
      <c r="A229" s="8">
        <v>20191115</v>
      </c>
      <c r="B229" s="9">
        <v>113.58</v>
      </c>
      <c r="C229" s="9">
        <v>53.36</v>
      </c>
      <c r="D229" s="54">
        <f t="shared" si="6"/>
        <v>2.1285607196401801</v>
      </c>
      <c r="Q229" s="52"/>
      <c r="R229" s="52"/>
    </row>
    <row r="230" spans="1:18" x14ac:dyDescent="0.3">
      <c r="A230" s="8">
        <v>20191118</v>
      </c>
      <c r="B230" s="9">
        <v>113.62</v>
      </c>
      <c r="C230" s="9">
        <v>53.36</v>
      </c>
      <c r="D230" s="54">
        <f t="shared" si="6"/>
        <v>2.1293103448275863</v>
      </c>
      <c r="Q230" s="52"/>
      <c r="R230" s="52"/>
    </row>
    <row r="231" spans="1:18" x14ac:dyDescent="0.3">
      <c r="A231" s="8">
        <v>20191119</v>
      </c>
      <c r="B231" s="9">
        <v>113.64</v>
      </c>
      <c r="C231" s="9">
        <v>53.4</v>
      </c>
      <c r="D231" s="54">
        <f t="shared" si="6"/>
        <v>2.1280898876404497</v>
      </c>
      <c r="Q231" s="52"/>
      <c r="R231" s="52"/>
    </row>
    <row r="232" spans="1:18" x14ac:dyDescent="0.3">
      <c r="A232" s="8">
        <v>20191120</v>
      </c>
      <c r="B232" s="9">
        <v>113.88</v>
      </c>
      <c r="C232" s="9">
        <v>53.47</v>
      </c>
      <c r="D232" s="54">
        <f t="shared" si="6"/>
        <v>2.1297924069571721</v>
      </c>
      <c r="Q232" s="52"/>
      <c r="R232" s="52"/>
    </row>
    <row r="233" spans="1:18" x14ac:dyDescent="0.3">
      <c r="A233" s="8">
        <v>20191121</v>
      </c>
      <c r="B233" s="9">
        <v>113.9</v>
      </c>
      <c r="C233" s="9">
        <v>53.48</v>
      </c>
      <c r="D233" s="54">
        <f t="shared" si="6"/>
        <v>2.1297681376215412</v>
      </c>
      <c r="Q233" s="52"/>
      <c r="R233" s="52"/>
    </row>
    <row r="234" spans="1:18" x14ac:dyDescent="0.3">
      <c r="A234" s="8">
        <v>20191122</v>
      </c>
      <c r="B234" s="9">
        <v>113.88</v>
      </c>
      <c r="C234" s="9">
        <v>53.49</v>
      </c>
      <c r="D234" s="54">
        <f t="shared" si="6"/>
        <v>2.1289960740325293</v>
      </c>
      <c r="Q234" s="52"/>
      <c r="R234" s="52"/>
    </row>
    <row r="235" spans="1:18" x14ac:dyDescent="0.3">
      <c r="A235" s="8">
        <v>20191125</v>
      </c>
      <c r="B235" s="9">
        <v>113.94</v>
      </c>
      <c r="C235" s="9">
        <v>53.54</v>
      </c>
      <c r="D235" s="54">
        <f t="shared" si="6"/>
        <v>2.1281285020545386</v>
      </c>
      <c r="Q235" s="52"/>
      <c r="R235" s="52"/>
    </row>
    <row r="236" spans="1:18" x14ac:dyDescent="0.3">
      <c r="A236" s="8">
        <v>20191126</v>
      </c>
      <c r="B236" s="9">
        <v>114.05</v>
      </c>
      <c r="C236" s="9">
        <v>53.56</v>
      </c>
      <c r="D236" s="54">
        <f t="shared" si="6"/>
        <v>2.1293876026885736</v>
      </c>
      <c r="Q236" s="52"/>
      <c r="R236" s="52"/>
    </row>
    <row r="237" spans="1:18" x14ac:dyDescent="0.3">
      <c r="A237" s="8">
        <v>20191127</v>
      </c>
      <c r="B237" s="9">
        <v>114.05</v>
      </c>
      <c r="C237" s="9">
        <v>53.59</v>
      </c>
      <c r="D237" s="54">
        <f t="shared" si="6"/>
        <v>2.1281955588729238</v>
      </c>
      <c r="Q237" s="52"/>
      <c r="R237" s="52"/>
    </row>
    <row r="238" spans="1:18" x14ac:dyDescent="0.3">
      <c r="A238" s="8">
        <v>20191129</v>
      </c>
      <c r="B238" s="9">
        <v>114.05</v>
      </c>
      <c r="C238" s="9">
        <v>53.57</v>
      </c>
      <c r="D238" s="54">
        <f t="shared" si="6"/>
        <v>2.1289901064028371</v>
      </c>
      <c r="Q238" s="52"/>
      <c r="R238" s="52"/>
    </row>
    <row r="239" spans="1:18" x14ac:dyDescent="0.3">
      <c r="A239" s="8">
        <v>20191202</v>
      </c>
      <c r="B239" s="9">
        <v>113.64</v>
      </c>
      <c r="C239" s="9">
        <v>53.4</v>
      </c>
      <c r="D239" s="54">
        <f t="shared" si="6"/>
        <v>2.1280898876404497</v>
      </c>
      <c r="Q239" s="52"/>
      <c r="R239" s="52"/>
    </row>
    <row r="240" spans="1:18" x14ac:dyDescent="0.3">
      <c r="A240" s="8">
        <v>20191203</v>
      </c>
      <c r="B240" s="9">
        <v>113.98</v>
      </c>
      <c r="C240" s="9">
        <v>53.55</v>
      </c>
      <c r="D240" s="54">
        <f t="shared" si="6"/>
        <v>2.1284780578898226</v>
      </c>
      <c r="Q240" s="52"/>
      <c r="R240" s="52"/>
    </row>
    <row r="241" spans="1:18" x14ac:dyDescent="0.3">
      <c r="A241" s="8">
        <v>20191204</v>
      </c>
      <c r="B241" s="9">
        <v>113.91</v>
      </c>
      <c r="C241" s="9">
        <v>53.51</v>
      </c>
      <c r="D241" s="54">
        <f t="shared" si="6"/>
        <v>2.1287609792562137</v>
      </c>
      <c r="Q241" s="52"/>
      <c r="R241" s="52"/>
    </row>
    <row r="242" spans="1:18" x14ac:dyDescent="0.3">
      <c r="A242" s="8">
        <v>20191205</v>
      </c>
      <c r="B242" s="9">
        <v>113.95</v>
      </c>
      <c r="C242" s="9">
        <v>53.5</v>
      </c>
      <c r="D242" s="54">
        <f t="shared" si="6"/>
        <v>2.1299065420560748</v>
      </c>
      <c r="Q242" s="52"/>
      <c r="R242" s="52"/>
    </row>
    <row r="243" spans="1:18" x14ac:dyDescent="0.3">
      <c r="A243" s="8">
        <v>20191206</v>
      </c>
      <c r="B243" s="9">
        <v>113.89</v>
      </c>
      <c r="C243" s="9">
        <v>53.47</v>
      </c>
      <c r="D243" s="54">
        <f t="shared" si="6"/>
        <v>2.1299794277164765</v>
      </c>
      <c r="Q243" s="52"/>
      <c r="R243" s="52"/>
    </row>
    <row r="244" spans="1:18" x14ac:dyDescent="0.3">
      <c r="A244" s="8">
        <v>20191209</v>
      </c>
      <c r="B244" s="9">
        <v>113.97</v>
      </c>
      <c r="C244" s="9">
        <v>53.52</v>
      </c>
      <c r="D244" s="54">
        <f t="shared" si="6"/>
        <v>2.1294843049327352</v>
      </c>
      <c r="Q244" s="52"/>
      <c r="R244" s="52"/>
    </row>
    <row r="245" spans="1:18" x14ac:dyDescent="0.3">
      <c r="A245" s="8">
        <v>20191210</v>
      </c>
      <c r="B245" s="9">
        <v>113.99</v>
      </c>
      <c r="C245" s="9">
        <v>53.51</v>
      </c>
      <c r="D245" s="54">
        <f t="shared" si="6"/>
        <v>2.1302560269108577</v>
      </c>
      <c r="Q245" s="52"/>
      <c r="R245" s="52"/>
    </row>
    <row r="246" spans="1:18" x14ac:dyDescent="0.3">
      <c r="A246" s="8">
        <v>20191211</v>
      </c>
      <c r="B246" s="9">
        <v>114.19</v>
      </c>
      <c r="C246" s="9">
        <v>53.59</v>
      </c>
      <c r="D246" s="54">
        <f t="shared" si="6"/>
        <v>2.1308079865646574</v>
      </c>
      <c r="Q246" s="52"/>
      <c r="R246" s="52"/>
    </row>
    <row r="247" spans="1:18" x14ac:dyDescent="0.3">
      <c r="A247" s="8">
        <v>20191212</v>
      </c>
      <c r="B247" s="9">
        <v>114</v>
      </c>
      <c r="C247" s="9">
        <v>53.46</v>
      </c>
      <c r="D247" s="54">
        <f t="shared" si="6"/>
        <v>2.1324354657687992</v>
      </c>
      <c r="Q247" s="52"/>
      <c r="R247" s="52"/>
    </row>
    <row r="248" spans="1:18" x14ac:dyDescent="0.3">
      <c r="A248" s="8">
        <v>20191213</v>
      </c>
      <c r="B248" s="9">
        <v>114.15</v>
      </c>
      <c r="C248" s="9">
        <v>53.59</v>
      </c>
      <c r="D248" s="54">
        <f t="shared" si="6"/>
        <v>2.1300615786527337</v>
      </c>
      <c r="Q248" s="52"/>
      <c r="R248" s="52"/>
    </row>
    <row r="249" spans="1:18" x14ac:dyDescent="0.3">
      <c r="A249" s="8">
        <v>20191216</v>
      </c>
      <c r="B249" s="9">
        <v>114.01</v>
      </c>
      <c r="C249" s="9">
        <v>53.59</v>
      </c>
      <c r="D249" s="54">
        <f t="shared" si="6"/>
        <v>2.1274491509610001</v>
      </c>
      <c r="Q249" s="52"/>
      <c r="R249" s="52"/>
    </row>
    <row r="250" spans="1:18" x14ac:dyDescent="0.3">
      <c r="A250" s="8">
        <v>20191217</v>
      </c>
      <c r="B250" s="9">
        <v>114.09</v>
      </c>
      <c r="C250" s="9">
        <v>53.62</v>
      </c>
      <c r="D250" s="54">
        <f t="shared" si="6"/>
        <v>2.12775083923909</v>
      </c>
      <c r="Q250" s="52"/>
      <c r="R250" s="52"/>
    </row>
    <row r="251" spans="1:18" x14ac:dyDescent="0.3">
      <c r="A251" s="8">
        <v>20191218</v>
      </c>
      <c r="B251" s="9">
        <v>114.05</v>
      </c>
      <c r="C251" s="9">
        <v>53.62</v>
      </c>
      <c r="D251" s="54">
        <f t="shared" si="6"/>
        <v>2.1270048489369637</v>
      </c>
      <c r="Q251" s="52"/>
      <c r="R251" s="52"/>
    </row>
    <row r="252" spans="1:18" x14ac:dyDescent="0.3">
      <c r="A252" s="8">
        <v>20191219</v>
      </c>
      <c r="B252" s="9">
        <v>113.87</v>
      </c>
      <c r="C252" s="9">
        <v>53.62</v>
      </c>
      <c r="D252" s="54">
        <f t="shared" si="6"/>
        <v>2.1236478925773965</v>
      </c>
      <c r="Q252" s="52"/>
      <c r="R252" s="52"/>
    </row>
    <row r="253" spans="1:18" x14ac:dyDescent="0.3">
      <c r="A253" s="8">
        <v>20191220</v>
      </c>
      <c r="B253" s="9">
        <v>113.78</v>
      </c>
      <c r="C253" s="9">
        <v>53.59</v>
      </c>
      <c r="D253" s="54">
        <f t="shared" si="6"/>
        <v>2.123157305467438</v>
      </c>
      <c r="Q253" s="52"/>
      <c r="R253" s="52"/>
    </row>
    <row r="254" spans="1:18" x14ac:dyDescent="0.3">
      <c r="A254" s="8">
        <v>20191223</v>
      </c>
      <c r="B254" s="9">
        <v>113.79</v>
      </c>
      <c r="C254" s="9">
        <v>53.52</v>
      </c>
      <c r="D254" s="54">
        <f t="shared" si="6"/>
        <v>2.1261210762331837</v>
      </c>
      <c r="Q254" s="52"/>
      <c r="R254" s="52"/>
    </row>
    <row r="255" spans="1:18" x14ac:dyDescent="0.3">
      <c r="A255" s="8">
        <v>20191224</v>
      </c>
      <c r="B255" s="9">
        <v>113.93</v>
      </c>
      <c r="C255" s="9">
        <v>53.54</v>
      </c>
      <c r="D255" s="54">
        <f t="shared" si="6"/>
        <v>2.1279417258124766</v>
      </c>
      <c r="Q255" s="52"/>
      <c r="R255" s="52"/>
    </row>
    <row r="256" spans="1:18" x14ac:dyDescent="0.3">
      <c r="A256" s="8">
        <v>20191226</v>
      </c>
      <c r="B256" s="9">
        <v>113.97</v>
      </c>
      <c r="C256" s="9">
        <v>53.55</v>
      </c>
      <c r="D256" s="54">
        <f t="shared" si="6"/>
        <v>2.1282913165266106</v>
      </c>
      <c r="Q256" s="52"/>
      <c r="R256" s="52"/>
    </row>
    <row r="257" spans="1:18" x14ac:dyDescent="0.3">
      <c r="A257" s="8">
        <v>20191227</v>
      </c>
      <c r="B257" s="9">
        <v>113.98</v>
      </c>
      <c r="C257" s="9">
        <v>53.59</v>
      </c>
      <c r="D257" s="54">
        <f t="shared" si="6"/>
        <v>2.1268893450270574</v>
      </c>
      <c r="Q257" s="52"/>
      <c r="R257" s="52"/>
    </row>
    <row r="258" spans="1:18" x14ac:dyDescent="0.3">
      <c r="A258" s="8">
        <v>20191230</v>
      </c>
      <c r="B258" s="9">
        <v>114</v>
      </c>
      <c r="C258" s="9">
        <v>53.58</v>
      </c>
      <c r="D258" s="54">
        <f t="shared" si="6"/>
        <v>2.1276595744680851</v>
      </c>
      <c r="Q258" s="52"/>
      <c r="R258" s="52"/>
    </row>
    <row r="259" spans="1:18" ht="15" thickBot="1" x14ac:dyDescent="0.35">
      <c r="A259" s="11">
        <v>20191231</v>
      </c>
      <c r="B259" s="12">
        <v>113.91</v>
      </c>
      <c r="C259" s="12">
        <v>53.54</v>
      </c>
      <c r="D259" s="55">
        <f t="shared" si="6"/>
        <v>2.1275681733283527</v>
      </c>
      <c r="Q259" s="52"/>
      <c r="R259" s="52"/>
    </row>
  </sheetData>
  <mergeCells count="7">
    <mergeCell ref="A1:A2"/>
    <mergeCell ref="C1:E1"/>
    <mergeCell ref="C2:E2"/>
    <mergeCell ref="A3:A4"/>
    <mergeCell ref="C3:E3"/>
    <mergeCell ref="C4:E4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TLT-VGLT</vt:lpstr>
      <vt:lpstr>SPLB-VCLT</vt:lpstr>
      <vt:lpstr>MBB-SPMB</vt:lpstr>
      <vt:lpstr>MUB-VTEB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2026-02-25T17:57:13Z</dcterms:created>
  <dcterms:modified xsi:type="dcterms:W3CDTF">2026-02-25T22:32:27Z</dcterms:modified>
</cp:coreProperties>
</file>